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ts_csv_90111 (1)" sheetId="1" state="visible" r:id="rId3"/>
    <sheet name="Feuille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<sst xmlns="http://schemas.openxmlformats.org/spreadsheetml/2006/main" count="1043" uniqueCount="303">
  <si>
    <t xml:space="preserve">EPREUVE</t>
  </si>
  <si>
    <t xml:space="preserve">GENRE</t>
  </si>
  <si>
    <t xml:space="preserve">NOM PRENOM</t>
  </si>
  <si>
    <t xml:space="preserve">ANNEE NAISSANCE</t>
  </si>
  <si>
    <t xml:space="preserve">TEMPS</t>
  </si>
  <si>
    <t xml:space="preserve">DATE</t>
  </si>
  <si>
    <t xml:space="preserve">POINTS FFN</t>
  </si>
  <si>
    <t xml:space="preserve">CATEGORIE</t>
  </si>
  <si>
    <t xml:space="preserve">100 Nage Libre Messieurs</t>
  </si>
  <si>
    <t xml:space="preserve">Masculin</t>
  </si>
  <si>
    <t xml:space="preserve">FARDOUX Alexandre</t>
  </si>
  <si>
    <t xml:space="preserve">01:09.72</t>
  </si>
  <si>
    <t xml:space="preserve">LESAGE Francois</t>
  </si>
  <si>
    <t xml:space="preserve">01:18.81</t>
  </si>
  <si>
    <t xml:space="preserve">MARANDON Alban</t>
  </si>
  <si>
    <t xml:space="preserve">01:10.11</t>
  </si>
  <si>
    <t xml:space="preserve">ANDALO Philippe</t>
  </si>
  <si>
    <t xml:space="preserve">01:18.96</t>
  </si>
  <si>
    <t xml:space="preserve">RATHE Jordy</t>
  </si>
  <si>
    <t xml:space="preserve">01:17.99</t>
  </si>
  <si>
    <t xml:space="preserve">DUYCK Sebastien</t>
  </si>
  <si>
    <t xml:space="preserve">01:16.28</t>
  </si>
  <si>
    <t xml:space="preserve">ROYER Patrice</t>
  </si>
  <si>
    <t xml:space="preserve">01:34.34</t>
  </si>
  <si>
    <t xml:space="preserve">400 Nage Libre Messieurs</t>
  </si>
  <si>
    <t xml:space="preserve">07:14.75</t>
  </si>
  <si>
    <t xml:space="preserve">DELANNOY Franck</t>
  </si>
  <si>
    <t xml:space="preserve">06:19.28</t>
  </si>
  <si>
    <t xml:space="preserve">06:23.21</t>
  </si>
  <si>
    <t xml:space="preserve">100 Brasse Messieurs</t>
  </si>
  <si>
    <t xml:space="preserve">01:34.20</t>
  </si>
  <si>
    <t xml:space="preserve">01:34.63</t>
  </si>
  <si>
    <t xml:space="preserve">01:44.16</t>
  </si>
  <si>
    <t xml:space="preserve">50 Papillon Messieurs</t>
  </si>
  <si>
    <t xml:space="preserve">00:34.81</t>
  </si>
  <si>
    <t xml:space="preserve">50 Nage Libre Messieurs</t>
  </si>
  <si>
    <t xml:space="preserve">00:29.18</t>
  </si>
  <si>
    <t xml:space="preserve">00:33.74</t>
  </si>
  <si>
    <t xml:space="preserve">MASSA Raphael</t>
  </si>
  <si>
    <t xml:space="preserve">00:44.40</t>
  </si>
  <si>
    <t xml:space="preserve">MARECHAL Evan</t>
  </si>
  <si>
    <t xml:space="preserve">00:49.54</t>
  </si>
  <si>
    <t xml:space="preserve">LAVALEE Noe</t>
  </si>
  <si>
    <t xml:space="preserve">00:41.30</t>
  </si>
  <si>
    <t xml:space="preserve">POTTIER Anthony</t>
  </si>
  <si>
    <t xml:space="preserve">00:46.16</t>
  </si>
  <si>
    <t xml:space="preserve">50 Nage Libre Dames</t>
  </si>
  <si>
    <t xml:space="preserve">Feminin</t>
  </si>
  <si>
    <t xml:space="preserve">COSSART Zelie</t>
  </si>
  <si>
    <t xml:space="preserve">00:32.75</t>
  </si>
  <si>
    <t xml:space="preserve">ROOSE Emi</t>
  </si>
  <si>
    <t xml:space="preserve">00:33.22</t>
  </si>
  <si>
    <t xml:space="preserve">DECRIEM Laura</t>
  </si>
  <si>
    <t xml:space="preserve">00:34.02</t>
  </si>
  <si>
    <t xml:space="preserve">REY Maeva</t>
  </si>
  <si>
    <t xml:space="preserve">00:35.42</t>
  </si>
  <si>
    <t xml:space="preserve">BAK Victoire</t>
  </si>
  <si>
    <t xml:space="preserve">00:41.76</t>
  </si>
  <si>
    <t xml:space="preserve">ROLIN Rosie</t>
  </si>
  <si>
    <t xml:space="preserve">00:37.05</t>
  </si>
  <si>
    <t xml:space="preserve">WEISPECKER Emma</t>
  </si>
  <si>
    <t xml:space="preserve">00:39.35</t>
  </si>
  <si>
    <t xml:space="preserve">MENEBOO Agathe</t>
  </si>
  <si>
    <t xml:space="preserve">00:44.31</t>
  </si>
  <si>
    <t xml:space="preserve">CLERCQ Eline</t>
  </si>
  <si>
    <t xml:space="preserve">00:45.30</t>
  </si>
  <si>
    <t xml:space="preserve">BOURET Louise</t>
  </si>
  <si>
    <t xml:space="preserve">00:45.38</t>
  </si>
  <si>
    <t xml:space="preserve">FORESI Julia</t>
  </si>
  <si>
    <t xml:space="preserve">00:46.12</t>
  </si>
  <si>
    <t xml:space="preserve">ROLIN Ines</t>
  </si>
  <si>
    <t xml:space="preserve">00:50.84</t>
  </si>
  <si>
    <t xml:space="preserve">VERMEERSCH Line</t>
  </si>
  <si>
    <t xml:space="preserve">00:51.80</t>
  </si>
  <si>
    <t xml:space="preserve">50 Papillon Dames</t>
  </si>
  <si>
    <t xml:space="preserve">00:40.77</t>
  </si>
  <si>
    <t xml:space="preserve">00:41.37</t>
  </si>
  <si>
    <t xml:space="preserve">00:41.23</t>
  </si>
  <si>
    <t xml:space="preserve">00:41.38</t>
  </si>
  <si>
    <t xml:space="preserve">00:54.75</t>
  </si>
  <si>
    <t xml:space="preserve">00:55.39</t>
  </si>
  <si>
    <t xml:space="preserve">50 Brasse Dames</t>
  </si>
  <si>
    <t xml:space="preserve">00:44.09</t>
  </si>
  <si>
    <t xml:space="preserve">00:53.63</t>
  </si>
  <si>
    <t xml:space="preserve">00:50.66</t>
  </si>
  <si>
    <t xml:space="preserve">Benjamins</t>
  </si>
  <si>
    <t xml:space="preserve">00:53.06</t>
  </si>
  <si>
    <t xml:space="preserve">00:55.03</t>
  </si>
  <si>
    <t xml:space="preserve">00:56.12</t>
  </si>
  <si>
    <t xml:space="preserve">00:58.35</t>
  </si>
  <si>
    <t xml:space="preserve">01:04.79</t>
  </si>
  <si>
    <t xml:space="preserve">01:01.82</t>
  </si>
  <si>
    <t xml:space="preserve">01:03.34</t>
  </si>
  <si>
    <t xml:space="preserve">00:37.24</t>
  </si>
  <si>
    <t xml:space="preserve">19/10/2025</t>
  </si>
  <si>
    <t xml:space="preserve">00:40.33</t>
  </si>
  <si>
    <t xml:space="preserve">MORTIER Lea</t>
  </si>
  <si>
    <t xml:space="preserve">00:40.56</t>
  </si>
  <si>
    <t xml:space="preserve">WYWIJAS Elise</t>
  </si>
  <si>
    <t xml:space="preserve">00:40.83</t>
  </si>
  <si>
    <t xml:space="preserve">00:41.39</t>
  </si>
  <si>
    <t xml:space="preserve">00:41.66</t>
  </si>
  <si>
    <t xml:space="preserve">00:41.90</t>
  </si>
  <si>
    <t xml:space="preserve">BOUCKAERT Lou</t>
  </si>
  <si>
    <t xml:space="preserve">00:42.33</t>
  </si>
  <si>
    <t xml:space="preserve">00:45.68</t>
  </si>
  <si>
    <t xml:space="preserve">MUYLAERT Lea</t>
  </si>
  <si>
    <t xml:space="preserve">00:47.31</t>
  </si>
  <si>
    <t xml:space="preserve">ROERE Lou-Isy</t>
  </si>
  <si>
    <t xml:space="preserve">00:47.84</t>
  </si>
  <si>
    <t xml:space="preserve">50 Dos Dames</t>
  </si>
  <si>
    <t xml:space="preserve">00:44.93</t>
  </si>
  <si>
    <t xml:space="preserve">00:53.75</t>
  </si>
  <si>
    <t xml:space="preserve">00:49.37</t>
  </si>
  <si>
    <t xml:space="preserve">00:51.90</t>
  </si>
  <si>
    <t xml:space="preserve">00:52.96</t>
  </si>
  <si>
    <t xml:space="preserve">00:53.55</t>
  </si>
  <si>
    <t xml:space="preserve">00:53.82</t>
  </si>
  <si>
    <t xml:space="preserve">00:53.93</t>
  </si>
  <si>
    <t xml:space="preserve">00:54.84</t>
  </si>
  <si>
    <t xml:space="preserve">00:56.32</t>
  </si>
  <si>
    <t xml:space="preserve">SYGULA Anais</t>
  </si>
  <si>
    <t xml:space="preserve">00:57.19</t>
  </si>
  <si>
    <t xml:space="preserve">00:58.22</t>
  </si>
  <si>
    <t xml:space="preserve">00:59.97</t>
  </si>
  <si>
    <t xml:space="preserve">DELANNOY Matheo</t>
  </si>
  <si>
    <t xml:space="preserve">00:33.64</t>
  </si>
  <si>
    <t xml:space="preserve">LAVALLEE Noe</t>
  </si>
  <si>
    <t xml:space="preserve">00:40.41</t>
  </si>
  <si>
    <t xml:space="preserve">00:50.10</t>
  </si>
  <si>
    <t xml:space="preserve">07/12/2025</t>
  </si>
  <si>
    <t xml:space="preserve">100 Nage Libre Dames</t>
  </si>
  <si>
    <t xml:space="preserve">01:38.79</t>
  </si>
  <si>
    <t xml:space="preserve">01:38.97</t>
  </si>
  <si>
    <t xml:space="preserve">01:46.17</t>
  </si>
  <si>
    <t xml:space="preserve">BOURET Jeanne</t>
  </si>
  <si>
    <t xml:space="preserve">01:01.95</t>
  </si>
  <si>
    <t xml:space="preserve">00:54.43</t>
  </si>
  <si>
    <t xml:space="preserve">00:55.99</t>
  </si>
  <si>
    <t xml:space="preserve">00:57.51</t>
  </si>
  <si>
    <t xml:space="preserve">01:00.04</t>
  </si>
  <si>
    <t xml:space="preserve">01:12.81</t>
  </si>
  <si>
    <t xml:space="preserve">TROLET Antone</t>
  </si>
  <si>
    <t xml:space="preserve">00:48.91</t>
  </si>
  <si>
    <t xml:space="preserve">BELLYNCK Gaspard</t>
  </si>
  <si>
    <t xml:space="preserve">00:52.05</t>
  </si>
  <si>
    <t xml:space="preserve">LARDIEZ Mathys</t>
  </si>
  <si>
    <t xml:space="preserve">00:57.89</t>
  </si>
  <si>
    <t xml:space="preserve">LARDIEZ Esteban</t>
  </si>
  <si>
    <t xml:space="preserve">00:58.02</t>
  </si>
  <si>
    <t xml:space="preserve">50 Dos Messieurs</t>
  </si>
  <si>
    <t xml:space="preserve">00:52.20</t>
  </si>
  <si>
    <t xml:space="preserve">00:55.96</t>
  </si>
  <si>
    <t xml:space="preserve">01:06.01</t>
  </si>
  <si>
    <t xml:space="preserve">01:13.50</t>
  </si>
  <si>
    <t xml:space="preserve">LOONIS Charlene</t>
  </si>
  <si>
    <t xml:space="preserve">00:54.00</t>
  </si>
  <si>
    <t xml:space="preserve">FARDOUX Faustine</t>
  </si>
  <si>
    <t xml:space="preserve">01:16.16</t>
  </si>
  <si>
    <t xml:space="preserve">01:01.72</t>
  </si>
  <si>
    <t xml:space="preserve">01:08.70</t>
  </si>
  <si>
    <t xml:space="preserve">LENGLAERT Marcel</t>
  </si>
  <si>
    <t xml:space="preserve">00:58.42</t>
  </si>
  <si>
    <t xml:space="preserve">01:02.31</t>
  </si>
  <si>
    <t xml:space="preserve">200 Nage Libre Dames</t>
  </si>
  <si>
    <t xml:space="preserve">03:01.61</t>
  </si>
  <si>
    <t xml:space="preserve">08/02/2026</t>
  </si>
  <si>
    <t xml:space="preserve">03:10.12</t>
  </si>
  <si>
    <t xml:space="preserve">03:28.17</t>
  </si>
  <si>
    <t xml:space="preserve">03:56.17</t>
  </si>
  <si>
    <t xml:space="preserve">100 Dos Dames</t>
  </si>
  <si>
    <t xml:space="preserve">01:45.28</t>
  </si>
  <si>
    <t xml:space="preserve">200 Brasse Dames</t>
  </si>
  <si>
    <t xml:space="preserve">VERMEERSCH Anele</t>
  </si>
  <si>
    <t xml:space="preserve">03:44.56</t>
  </si>
  <si>
    <t xml:space="preserve">03:46.25</t>
  </si>
  <si>
    <t xml:space="preserve">04:19.34</t>
  </si>
  <si>
    <t xml:space="preserve">00:52.54</t>
  </si>
  <si>
    <t xml:space="preserve">00:56.58</t>
  </si>
  <si>
    <t xml:space="preserve">200 Nage Libre Messieurs</t>
  </si>
  <si>
    <t xml:space="preserve">02:46.12</t>
  </si>
  <si>
    <t xml:space="preserve">03:10.63</t>
  </si>
  <si>
    <t xml:space="preserve">100 Dos Messieurs</t>
  </si>
  <si>
    <t xml:space="preserve">01:28.05</t>
  </si>
  <si>
    <t xml:space="preserve">00:46.91</t>
  </si>
  <si>
    <t xml:space="preserve">22/03/2026</t>
  </si>
  <si>
    <t xml:space="preserve">00:57.69</t>
  </si>
  <si>
    <t xml:space="preserve">01:41.16</t>
  </si>
  <si>
    <t xml:space="preserve">00:58.47</t>
  </si>
  <si>
    <t xml:space="preserve">01:00.22</t>
  </si>
  <si>
    <t xml:space="preserve">100 Brasse Dames</t>
  </si>
  <si>
    <t xml:space="preserve">02:02.18</t>
  </si>
  <si>
    <t xml:space="preserve">00:46.42</t>
  </si>
  <si>
    <t xml:space="preserve">00:50.03</t>
  </si>
  <si>
    <t xml:space="preserve">00:51.03</t>
  </si>
  <si>
    <t xml:space="preserve">00:56.42</t>
  </si>
  <si>
    <t xml:space="preserve">00:50.53</t>
  </si>
  <si>
    <t xml:space="preserve">00:56.96</t>
  </si>
  <si>
    <t xml:space="preserve">00:57.60</t>
  </si>
  <si>
    <t xml:space="preserve">01:01.52</t>
  </si>
  <si>
    <t xml:space="preserve">01:02.13</t>
  </si>
  <si>
    <t xml:space="preserve">00:34.32</t>
  </si>
  <si>
    <t xml:space="preserve">26/04/2026</t>
  </si>
  <si>
    <t xml:space="preserve">00:38.09</t>
  </si>
  <si>
    <t xml:space="preserve">00:38.18</t>
  </si>
  <si>
    <t xml:space="preserve">00:41.24</t>
  </si>
  <si>
    <t xml:space="preserve">00:42.15</t>
  </si>
  <si>
    <t xml:space="preserve">01:38.69</t>
  </si>
  <si>
    <t xml:space="preserve">01:45.09</t>
  </si>
  <si>
    <t xml:space="preserve">01:45.75</t>
  </si>
  <si>
    <t xml:space="preserve">100 4 Nages Dames</t>
  </si>
  <si>
    <t xml:space="preserve">01:38.48</t>
  </si>
  <si>
    <t xml:space="preserve">01:45.39</t>
  </si>
  <si>
    <t xml:space="preserve">01:46.76</t>
  </si>
  <si>
    <t xml:space="preserve">01:50.55</t>
  </si>
  <si>
    <t xml:space="preserve">00:35.11</t>
  </si>
  <si>
    <t xml:space="preserve">100 4 Nages Messieurs</t>
  </si>
  <si>
    <t xml:space="preserve">01:43.65</t>
  </si>
  <si>
    <t xml:space="preserve">00:35.03</t>
  </si>
  <si>
    <t xml:space="preserve">01/05/2026</t>
  </si>
  <si>
    <t xml:space="preserve">00:37.81</t>
  </si>
  <si>
    <t xml:space="preserve">00:38.11</t>
  </si>
  <si>
    <t xml:space="preserve">00:40.84</t>
  </si>
  <si>
    <t xml:space="preserve">00:42.26</t>
  </si>
  <si>
    <t xml:space="preserve">00:43.43</t>
  </si>
  <si>
    <t xml:space="preserve">00:44.43</t>
  </si>
  <si>
    <t xml:space="preserve">00:45.24</t>
  </si>
  <si>
    <t xml:space="preserve">00:57.01</t>
  </si>
  <si>
    <t xml:space="preserve">00:42.57</t>
  </si>
  <si>
    <t xml:space="preserve">00:52.87</t>
  </si>
  <si>
    <t xml:space="preserve">00:46.54</t>
  </si>
  <si>
    <t xml:space="preserve">00:49.85</t>
  </si>
  <si>
    <t xml:space="preserve">00:50.58</t>
  </si>
  <si>
    <t xml:space="preserve">00:54.34</t>
  </si>
  <si>
    <t xml:space="preserve">00:55.01</t>
  </si>
  <si>
    <t xml:space="preserve">01:05.00</t>
  </si>
  <si>
    <t xml:space="preserve">00:46.10</t>
  </si>
  <si>
    <t xml:space="preserve">00:49.53</t>
  </si>
  <si>
    <t xml:space="preserve">00:30.57</t>
  </si>
  <si>
    <t xml:space="preserve">00:36.26</t>
  </si>
  <si>
    <t xml:space="preserve">VERROUST Sacha</t>
  </si>
  <si>
    <t xml:space="preserve">00:37.67</t>
  </si>
  <si>
    <t xml:space="preserve">00:47.45</t>
  </si>
  <si>
    <t xml:space="preserve">00:52.40</t>
  </si>
  <si>
    <t xml:space="preserve">00:37.59</t>
  </si>
  <si>
    <t xml:space="preserve">00:43.45</t>
  </si>
  <si>
    <t xml:space="preserve">00:49.82</t>
  </si>
  <si>
    <t xml:space="preserve">00:53.28</t>
  </si>
  <si>
    <t xml:space="preserve">50 Brasse Messieurs</t>
  </si>
  <si>
    <t xml:space="preserve">00:50.41</t>
  </si>
  <si>
    <t xml:space="preserve">01:15.57</t>
  </si>
  <si>
    <t xml:space="preserve">00:39.40</t>
  </si>
  <si>
    <t xml:space="preserve">00:28.87</t>
  </si>
  <si>
    <t xml:space="preserve">25/05/2026</t>
  </si>
  <si>
    <t xml:space="preserve">00:31.14</t>
  </si>
  <si>
    <t xml:space="preserve">00:33.46</t>
  </si>
  <si>
    <t xml:space="preserve">01:18.61</t>
  </si>
  <si>
    <t xml:space="preserve">01:17.26</t>
  </si>
  <si>
    <t xml:space="preserve">01:09.85</t>
  </si>
  <si>
    <t xml:space="preserve">01:18.58</t>
  </si>
  <si>
    <t xml:space="preserve">06:28.33</t>
  </si>
  <si>
    <t xml:space="preserve">06:17.46</t>
  </si>
  <si>
    <t xml:space="preserve">800 Nage Libre Messieurs</t>
  </si>
  <si>
    <t xml:space="preserve">12:57.21</t>
  </si>
  <si>
    <t xml:space="preserve">00:40.96</t>
  </si>
  <si>
    <t xml:space="preserve">00:41.92</t>
  </si>
  <si>
    <t xml:space="preserve">00:44.42</t>
  </si>
  <si>
    <t xml:space="preserve">00:41.34</t>
  </si>
  <si>
    <t xml:space="preserve">01:31.60</t>
  </si>
  <si>
    <t xml:space="preserve">00:34.34</t>
  </si>
  <si>
    <t xml:space="preserve">100 Papillon Messieurs</t>
  </si>
  <si>
    <t xml:space="preserve">01:27.38</t>
  </si>
  <si>
    <t xml:space="preserve">200 4 Nages Messieurs</t>
  </si>
  <si>
    <t xml:space="preserve">03:05.80</t>
  </si>
  <si>
    <t xml:space="preserve">03:23.10</t>
  </si>
  <si>
    <t xml:space="preserve">01:45.49</t>
  </si>
  <si>
    <t xml:space="preserve">04/10/2026</t>
  </si>
  <si>
    <t xml:space="preserve">01:48.51</t>
  </si>
  <si>
    <t xml:space="preserve">01:24.87</t>
  </si>
  <si>
    <t xml:space="preserve">00:51.29</t>
  </si>
  <si>
    <t xml:space="preserve">00:56.91</t>
  </si>
  <si>
    <t xml:space="preserve">MALLAURAN Eva</t>
  </si>
  <si>
    <t xml:space="preserve">00:46.40</t>
  </si>
  <si>
    <t xml:space="preserve">00:51.43</t>
  </si>
  <si>
    <t xml:space="preserve">00:55.05</t>
  </si>
  <si>
    <t xml:space="preserve">00:37.43</t>
  </si>
  <si>
    <t xml:space="preserve">00:39.87</t>
  </si>
  <si>
    <t xml:space="preserve">00:42.64</t>
  </si>
  <si>
    <t xml:space="preserve">00:42.77</t>
  </si>
  <si>
    <t xml:space="preserve">00:44.38</t>
  </si>
  <si>
    <t xml:space="preserve">00:49.50</t>
  </si>
  <si>
    <t xml:space="preserve">01:21.49</t>
  </si>
  <si>
    <t xml:space="preserve">00:45.56</t>
  </si>
  <si>
    <t xml:space="preserve">01:17.01</t>
  </si>
  <si>
    <t xml:space="preserve">00:53.96</t>
  </si>
  <si>
    <t xml:space="preserve">00:29.36</t>
  </si>
  <si>
    <t xml:space="preserve">00:33.94</t>
  </si>
  <si>
    <t xml:space="preserve">00:39.84</t>
  </si>
  <si>
    <t xml:space="preserve">00:44.73</t>
  </si>
  <si>
    <t xml:space="preserve">NOM_PRENOM</t>
  </si>
  <si>
    <t xml:space="preserve">ANNEE_NAISSANCE</t>
  </si>
  <si>
    <t xml:space="preserve">DATE_FR</t>
  </si>
  <si>
    <t xml:space="preserve">POINTS_FFN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</si>
</sst>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63" colorId="64" zoomScale="100" zoomScaleNormal="100" zoomScalePageLayoutView="100" workbookViewId="0">
      <selection pane="topLeft" activeCell="L200" activeCellId="0" sqref="L200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3.57"/>
    <col collapsed="false" customWidth="true" hidden="false" outlineLevel="0" max="3" min="3" style="1" width="19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1" t="n">
        <v>1983</v>
      </c>
      <c r="E2" s="1" t="s">
        <v>11</v>
      </c>
      <c r="F2" s="2" t="n">
        <v>45817</v>
      </c>
      <c r="G2" s="1" t="n">
        <v>771</v>
      </c>
      <c r="H2" s="1" t="str">
        <f aca="false">IF((YEAR(F2)-D2)&lt;=11,"Avenirs",IF((YEAR(F2)-D2)&lt;=13,"Benjamins",IF((YEAR(F2)-D2)&lt;=18,"Juniors",IF((YEAR(F2)-D2)&lt;=25,"Seniors","Master C"&amp;ROUNDUP((YEAR(F2)-D2-25)/5,0)))))</f>
        <v>Master C4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12</v>
      </c>
      <c r="D3" s="1" t="n">
        <v>1996</v>
      </c>
      <c r="E3" s="1" t="s">
        <v>13</v>
      </c>
      <c r="F3" s="2" t="n">
        <v>45817</v>
      </c>
      <c r="G3" s="1" t="n">
        <v>445</v>
      </c>
      <c r="H3" s="1" t="str">
        <f aca="false">IF((YEAR(F3)-D3)&lt;=11,"Avenirs",IF((YEAR(F3)-D3)&lt;=13,"Benjamins",IF((YEAR(F3)-D3)&lt;=18,"Juniors",IF((YEAR(F3)-D3)&lt;=25,"Seniors","Master C"&amp;ROUNDUP((YEAR(F3)-D3-25)/5,0)))))</f>
        <v>Master C1</v>
      </c>
    </row>
    <row r="4" customFormat="false" ht="15" hidden="false" customHeight="false" outlineLevel="0" collapsed="false">
      <c r="A4" s="1" t="s">
        <v>8</v>
      </c>
      <c r="B4" s="1" t="s">
        <v>9</v>
      </c>
      <c r="C4" s="1" t="s">
        <v>14</v>
      </c>
      <c r="D4" s="1" t="n">
        <v>1978</v>
      </c>
      <c r="E4" s="1" t="s">
        <v>15</v>
      </c>
      <c r="F4" s="2" t="n">
        <v>45817</v>
      </c>
      <c r="G4" s="1" t="n">
        <v>764</v>
      </c>
      <c r="H4" s="1" t="str">
        <f aca="false">IF((YEAR(F4)-D4)&lt;=11,"Avenirs",IF((YEAR(F4)-D4)&lt;=13,"Benjamins",IF((YEAR(F4)-D4)&lt;=18,"Juniors",IF((YEAR(F4)-D4)&lt;=25,"Seniors","Master C"&amp;ROUNDUP((YEAR(F4)-D4-25)/5,0)))))</f>
        <v>Master C5</v>
      </c>
    </row>
    <row r="5" customFormat="false" ht="15" hidden="false" customHeight="false" outlineLevel="0" collapsed="false">
      <c r="A5" s="1" t="s">
        <v>8</v>
      </c>
      <c r="B5" s="1" t="s">
        <v>9</v>
      </c>
      <c r="C5" s="1" t="s">
        <v>16</v>
      </c>
      <c r="D5" s="1" t="n">
        <v>1967</v>
      </c>
      <c r="E5" s="1" t="s">
        <v>17</v>
      </c>
      <c r="F5" s="2" t="n">
        <v>45817</v>
      </c>
      <c r="G5" s="1" t="n">
        <v>655</v>
      </c>
      <c r="H5" s="1" t="str">
        <f aca="false">IF((YEAR(F5)-D5)&lt;=11,"Avenirs",IF((YEAR(F5)-D5)&lt;=13,"Benjamins",IF((YEAR(F5)-D5)&lt;=18,"Juniors",IF((YEAR(F5)-D5)&lt;=25,"Seniors","Master C"&amp;ROUNDUP((YEAR(F5)-D5-25)/5,0)))))</f>
        <v>Master C7</v>
      </c>
    </row>
    <row r="6" customFormat="false" ht="15" hidden="false" customHeight="false" outlineLevel="0" collapsed="false">
      <c r="A6" s="1" t="s">
        <v>8</v>
      </c>
      <c r="B6" s="1" t="s">
        <v>9</v>
      </c>
      <c r="C6" s="1" t="s">
        <v>18</v>
      </c>
      <c r="D6" s="1" t="n">
        <v>1993</v>
      </c>
      <c r="E6" s="1" t="s">
        <v>19</v>
      </c>
      <c r="F6" s="2" t="n">
        <v>45817</v>
      </c>
      <c r="G6" s="1" t="n">
        <v>488</v>
      </c>
      <c r="H6" s="1" t="str">
        <f aca="false">IF((YEAR(F6)-D6)&lt;=11,"Avenirs",IF((YEAR(F6)-D6)&lt;=13,"Benjamins",IF((YEAR(F6)-D6)&lt;=18,"Juniors",IF((YEAR(F6)-D6)&lt;=25,"Seniors","Master C"&amp;ROUNDUP((YEAR(F6)-D6-25)/5,0)))))</f>
        <v>Master C2</v>
      </c>
    </row>
    <row r="7" customFormat="false" ht="15" hidden="false" customHeight="false" outlineLevel="0" collapsed="false">
      <c r="A7" s="1" t="s">
        <v>8</v>
      </c>
      <c r="B7" s="1" t="s">
        <v>9</v>
      </c>
      <c r="C7" s="1" t="s">
        <v>20</v>
      </c>
      <c r="D7" s="1" t="n">
        <v>1979</v>
      </c>
      <c r="E7" s="1" t="s">
        <v>21</v>
      </c>
      <c r="F7" s="2" t="n">
        <v>45817</v>
      </c>
      <c r="G7" s="1" t="n">
        <v>612</v>
      </c>
      <c r="H7" s="1" t="str">
        <f aca="false">IF((YEAR(F7)-D7)&lt;=11,"Avenirs",IF((YEAR(F7)-D7)&lt;=13,"Benjamins",IF((YEAR(F7)-D7)&lt;=18,"Juniors",IF((YEAR(F7)-D7)&lt;=25,"Seniors","Master C"&amp;ROUNDUP((YEAR(F7)-D7-25)/5,0)))))</f>
        <v>Master C5</v>
      </c>
    </row>
    <row r="8" customFormat="false" ht="15" hidden="false" customHeight="false" outlineLevel="0" collapsed="false">
      <c r="A8" s="1" t="s">
        <v>8</v>
      </c>
      <c r="B8" s="1" t="s">
        <v>9</v>
      </c>
      <c r="C8" s="1" t="s">
        <v>22</v>
      </c>
      <c r="D8" s="1" t="n">
        <v>1963</v>
      </c>
      <c r="E8" s="1" t="s">
        <v>23</v>
      </c>
      <c r="F8" s="2" t="n">
        <v>45817</v>
      </c>
      <c r="G8" s="1" t="n">
        <v>409</v>
      </c>
      <c r="H8" s="1" t="str">
        <f aca="false">IF((YEAR(F8)-D8)&lt;=11,"Avenirs",IF((YEAR(F8)-D8)&lt;=13,"Benjamins",IF((YEAR(F8)-D8)&lt;=18,"Juniors",IF((YEAR(F8)-D8)&lt;=25,"Seniors","Master C"&amp;ROUNDUP((YEAR(F8)-D8-25)/5,0)))))</f>
        <v>Master C8</v>
      </c>
    </row>
    <row r="9" customFormat="false" ht="15" hidden="false" customHeight="false" outlineLevel="0" collapsed="false">
      <c r="A9" s="1" t="s">
        <v>24</v>
      </c>
      <c r="B9" s="1" t="s">
        <v>9</v>
      </c>
      <c r="C9" s="1" t="s">
        <v>22</v>
      </c>
      <c r="D9" s="1" t="n">
        <v>1963</v>
      </c>
      <c r="E9" s="1" t="s">
        <v>25</v>
      </c>
      <c r="F9" s="2" t="n">
        <v>45817</v>
      </c>
      <c r="G9" s="1" t="n">
        <v>356</v>
      </c>
      <c r="H9" s="1" t="str">
        <f aca="false">IF((YEAR(F9)-D9)&lt;=11,"Avenirs",IF((YEAR(F9)-D9)&lt;=13,"Benjamins",IF((YEAR(F9)-D9)&lt;=18,"Juniors",IF((YEAR(F9)-D9)&lt;=25,"Seniors","Master C"&amp;ROUNDUP((YEAR(F9)-D9-25)/5,0)))))</f>
        <v>Master C8</v>
      </c>
    </row>
    <row r="10" customFormat="false" ht="15" hidden="false" customHeight="false" outlineLevel="0" collapsed="false">
      <c r="A10" s="1" t="s">
        <v>24</v>
      </c>
      <c r="B10" s="1" t="s">
        <v>9</v>
      </c>
      <c r="C10" s="1" t="s">
        <v>26</v>
      </c>
      <c r="D10" s="1" t="n">
        <v>1973</v>
      </c>
      <c r="E10" s="1" t="s">
        <v>27</v>
      </c>
      <c r="F10" s="2" t="n">
        <v>45817</v>
      </c>
      <c r="G10" s="1" t="n">
        <v>451</v>
      </c>
      <c r="H10" s="1" t="str">
        <f aca="false">IF((YEAR(F10)-D10)&lt;=11,"Avenirs",IF((YEAR(F10)-D10)&lt;=13,"Benjamins",IF((YEAR(F10)-D10)&lt;=18,"Juniors",IF((YEAR(F10)-D10)&lt;=25,"Seniors","Master C"&amp;ROUNDUP((YEAR(F10)-D10-25)/5,0)))))</f>
        <v>Master C6</v>
      </c>
    </row>
    <row r="11" customFormat="false" ht="15" hidden="false" customHeight="false" outlineLevel="0" collapsed="false">
      <c r="A11" s="1" t="s">
        <v>24</v>
      </c>
      <c r="B11" s="1" t="s">
        <v>9</v>
      </c>
      <c r="C11" s="1" t="s">
        <v>16</v>
      </c>
      <c r="D11" s="1" t="n">
        <v>1967</v>
      </c>
      <c r="E11" s="1" t="s">
        <v>28</v>
      </c>
      <c r="F11" s="2" t="n">
        <v>45817</v>
      </c>
      <c r="G11" s="1" t="n">
        <v>509</v>
      </c>
      <c r="H11" s="1" t="str">
        <f aca="false">IF((YEAR(F11)-D11)&lt;=11,"Avenirs",IF((YEAR(F11)-D11)&lt;=13,"Benjamins",IF((YEAR(F11)-D11)&lt;=18,"Juniors",IF((YEAR(F11)-D11)&lt;=25,"Seniors","Master C"&amp;ROUNDUP((YEAR(F11)-D11-25)/5,0)))))</f>
        <v>Master C7</v>
      </c>
    </row>
    <row r="12" customFormat="false" ht="15" hidden="false" customHeight="false" outlineLevel="0" collapsed="false">
      <c r="A12" s="1" t="s">
        <v>29</v>
      </c>
      <c r="B12" s="1" t="s">
        <v>9</v>
      </c>
      <c r="C12" s="1" t="s">
        <v>18</v>
      </c>
      <c r="D12" s="1" t="n">
        <v>1993</v>
      </c>
      <c r="E12" s="1" t="s">
        <v>30</v>
      </c>
      <c r="F12" s="2" t="n">
        <v>45817</v>
      </c>
      <c r="G12" s="1" t="n">
        <v>550</v>
      </c>
      <c r="H12" s="1" t="str">
        <f aca="false">IF((YEAR(F12)-D12)&lt;=11,"Avenirs",IF((YEAR(F12)-D12)&lt;=13,"Benjamins",IF((YEAR(F12)-D12)&lt;=18,"Juniors",IF((YEAR(F12)-D12)&lt;=25,"Seniors","Master C"&amp;ROUNDUP((YEAR(F12)-D12-25)/5,0)))))</f>
        <v>Master C2</v>
      </c>
    </row>
    <row r="13" customFormat="false" ht="15" hidden="false" customHeight="false" outlineLevel="0" collapsed="false">
      <c r="A13" s="1" t="s">
        <v>29</v>
      </c>
      <c r="B13" s="1" t="s">
        <v>9</v>
      </c>
      <c r="C13" s="1" t="s">
        <v>14</v>
      </c>
      <c r="D13" s="1" t="n">
        <v>1978</v>
      </c>
      <c r="E13" s="1" t="s">
        <v>31</v>
      </c>
      <c r="F13" s="2" t="n">
        <v>45817</v>
      </c>
      <c r="G13" s="1" t="n">
        <v>637</v>
      </c>
      <c r="H13" s="1" t="str">
        <f aca="false">IF((YEAR(F13)-D13)&lt;=11,"Avenirs",IF((YEAR(F13)-D13)&lt;=13,"Benjamins",IF((YEAR(F13)-D13)&lt;=18,"Juniors",IF((YEAR(F13)-D13)&lt;=25,"Seniors","Master C"&amp;ROUNDUP((YEAR(F13)-D13-25)/5,0)))))</f>
        <v>Master C5</v>
      </c>
    </row>
    <row r="14" customFormat="false" ht="15" hidden="false" customHeight="false" outlineLevel="0" collapsed="false">
      <c r="A14" s="1" t="s">
        <v>29</v>
      </c>
      <c r="B14" s="1" t="s">
        <v>9</v>
      </c>
      <c r="C14" s="1" t="s">
        <v>20</v>
      </c>
      <c r="D14" s="1" t="n">
        <v>1979</v>
      </c>
      <c r="E14" s="1" t="s">
        <v>32</v>
      </c>
      <c r="F14" s="2" t="n">
        <v>45817</v>
      </c>
      <c r="G14" s="1" t="n">
        <v>473</v>
      </c>
      <c r="H14" s="1" t="str">
        <f aca="false">IF((YEAR(F14)-D14)&lt;=11,"Avenirs",IF((YEAR(F14)-D14)&lt;=13,"Benjamins",IF((YEAR(F14)-D14)&lt;=18,"Juniors",IF((YEAR(F14)-D14)&lt;=25,"Seniors","Master C"&amp;ROUNDUP((YEAR(F14)-D14-25)/5,0)))))</f>
        <v>Master C5</v>
      </c>
    </row>
    <row r="15" customFormat="false" ht="15" hidden="false" customHeight="false" outlineLevel="0" collapsed="false">
      <c r="A15" s="1" t="s">
        <v>33</v>
      </c>
      <c r="B15" s="1" t="s">
        <v>9</v>
      </c>
      <c r="C15" s="1" t="s">
        <v>10</v>
      </c>
      <c r="D15" s="1" t="n">
        <v>1983</v>
      </c>
      <c r="E15" s="1" t="s">
        <v>34</v>
      </c>
      <c r="F15" s="2" t="n">
        <v>45817</v>
      </c>
      <c r="G15" s="1" t="n">
        <v>720</v>
      </c>
      <c r="H15" s="1" t="str">
        <f aca="false">IF((YEAR(F15)-D15)&lt;=11,"Avenirs",IF((YEAR(F15)-D15)&lt;=13,"Benjamins",IF((YEAR(F15)-D15)&lt;=18,"Juniors",IF((YEAR(F15)-D15)&lt;=25,"Seniors","Master C"&amp;ROUNDUP((YEAR(F15)-D15-25)/5,0)))))</f>
        <v>Master C4</v>
      </c>
    </row>
    <row r="16" customFormat="false" ht="15" hidden="false" customHeight="false" outlineLevel="0" collapsed="false">
      <c r="A16" s="1" t="s">
        <v>35</v>
      </c>
      <c r="B16" s="1" t="s">
        <v>9</v>
      </c>
      <c r="C16" s="1" t="s">
        <v>10</v>
      </c>
      <c r="D16" s="1" t="n">
        <v>1983</v>
      </c>
      <c r="E16" s="1" t="s">
        <v>36</v>
      </c>
      <c r="F16" s="2" t="n">
        <v>45778</v>
      </c>
      <c r="G16" s="1" t="n">
        <v>834</v>
      </c>
      <c r="H16" s="1" t="str">
        <f aca="false">IF((YEAR(F16)-D16)&lt;=11,"Avenirs",IF((YEAR(F16)-D16)&lt;=13,"Benjamins",IF((YEAR(F16)-D16)&lt;=18,"Juniors",IF((YEAR(F16)-D16)&lt;=25,"Seniors","Master C"&amp;ROUNDUP((YEAR(F16)-D16-25)/5,0)))))</f>
        <v>Master C4</v>
      </c>
    </row>
    <row r="17" customFormat="false" ht="15" hidden="false" customHeight="false" outlineLevel="0" collapsed="false">
      <c r="A17" s="1" t="s">
        <v>35</v>
      </c>
      <c r="B17" s="1" t="s">
        <v>9</v>
      </c>
      <c r="C17" s="1" t="s">
        <v>18</v>
      </c>
      <c r="D17" s="1" t="n">
        <v>1993</v>
      </c>
      <c r="E17" s="1" t="s">
        <v>37</v>
      </c>
      <c r="F17" s="2" t="n">
        <v>45778</v>
      </c>
      <c r="G17" s="1" t="n">
        <v>583</v>
      </c>
      <c r="H17" s="1" t="str">
        <f aca="false">IF((YEAR(F17)-D17)&lt;=11,"Avenirs",IF((YEAR(F17)-D17)&lt;=13,"Benjamins",IF((YEAR(F17)-D17)&lt;=18,"Juniors",IF((YEAR(F17)-D17)&lt;=25,"Seniors","Master C"&amp;ROUNDUP((YEAR(F17)-D17-25)/5,0)))))</f>
        <v>Master C2</v>
      </c>
    </row>
    <row r="18" customFormat="false" ht="15" hidden="false" customHeight="false" outlineLevel="0" collapsed="false">
      <c r="A18" s="1" t="s">
        <v>35</v>
      </c>
      <c r="B18" s="1" t="s">
        <v>9</v>
      </c>
      <c r="C18" s="1" t="s">
        <v>38</v>
      </c>
      <c r="D18" s="1" t="n">
        <v>2010</v>
      </c>
      <c r="E18" s="1" t="s">
        <v>39</v>
      </c>
      <c r="F18" s="2" t="n">
        <v>45778</v>
      </c>
      <c r="G18" s="1" t="n">
        <v>171</v>
      </c>
      <c r="H18" s="1" t="str">
        <f aca="false">IF((YEAR(F18)-D18)&lt;=11,"Avenirs",IF((YEAR(F18)-D18)&lt;=13,"Benjamins",IF((YEAR(F18)-D18)&lt;=18,"Juniors",IF((YEAR(F18)-D18)&lt;=25,"Seniors","Master C"&amp;ROUNDUP((YEAR(F18)-D18-25)/5,0)))))</f>
        <v>Juniors</v>
      </c>
    </row>
    <row r="19" customFormat="false" ht="15" hidden="false" customHeight="false" outlineLevel="0" collapsed="false">
      <c r="A19" s="1" t="s">
        <v>35</v>
      </c>
      <c r="B19" s="1" t="s">
        <v>9</v>
      </c>
      <c r="C19" s="1" t="s">
        <v>40</v>
      </c>
      <c r="D19" s="1" t="n">
        <v>2011</v>
      </c>
      <c r="E19" s="1" t="s">
        <v>41</v>
      </c>
      <c r="F19" s="2" t="n">
        <v>45778</v>
      </c>
      <c r="G19" s="1" t="n">
        <v>60</v>
      </c>
      <c r="H19" s="1" t="str">
        <f aca="false">IF((YEAR(F19)-D19)&lt;=11,"Avenirs",IF((YEAR(F19)-D19)&lt;=13,"Benjamins",IF((YEAR(F19)-D19)&lt;=18,"Juniors",IF((YEAR(F19)-D19)&lt;=25,"Seniors","Master C"&amp;ROUNDUP((YEAR(F19)-D19-25)/5,0)))))</f>
        <v>Juniors</v>
      </c>
    </row>
    <row r="20" customFormat="false" ht="15" hidden="false" customHeight="false" outlineLevel="0" collapsed="false">
      <c r="A20" s="1" t="s">
        <v>35</v>
      </c>
      <c r="B20" s="1" t="s">
        <v>9</v>
      </c>
      <c r="C20" s="1" t="s">
        <v>42</v>
      </c>
      <c r="D20" s="1" t="n">
        <v>2012</v>
      </c>
      <c r="E20" s="1" t="s">
        <v>43</v>
      </c>
      <c r="F20" s="2" t="n">
        <v>45778</v>
      </c>
      <c r="G20" s="1" t="n">
        <v>266</v>
      </c>
      <c r="H20" s="1" t="str">
        <f aca="false">IF((YEAR(F20)-D20)&lt;=11,"Avenirs",IF((YEAR(F20)-D20)&lt;=13,"Benjamins",IF((YEAR(F20)-D20)&lt;=18,"Juniors",IF((YEAR(F20)-D20)&lt;=25,"Seniors","Master C"&amp;ROUNDUP((YEAR(F20)-D20-25)/5,0)))))</f>
        <v>Benjamins</v>
      </c>
    </row>
    <row r="21" customFormat="false" ht="15" hidden="false" customHeight="false" outlineLevel="0" collapsed="false">
      <c r="A21" s="1" t="s">
        <v>35</v>
      </c>
      <c r="B21" s="1" t="s">
        <v>9</v>
      </c>
      <c r="C21" s="1" t="s">
        <v>44</v>
      </c>
      <c r="D21" s="1" t="n">
        <v>2012</v>
      </c>
      <c r="E21" s="1" t="s">
        <v>45</v>
      </c>
      <c r="F21" s="2" t="n">
        <v>45778</v>
      </c>
      <c r="G21" s="1" t="n">
        <v>127</v>
      </c>
      <c r="H21" s="1" t="str">
        <f aca="false">IF((YEAR(F21)-D21)&lt;=11,"Avenirs",IF((YEAR(F21)-D21)&lt;=13,"Benjamins",IF((YEAR(F21)-D21)&lt;=18,"Juniors",IF((YEAR(F21)-D21)&lt;=25,"Seniors","Master C"&amp;ROUNDUP((YEAR(F21)-D21-25)/5,0)))))</f>
        <v>Benjamins</v>
      </c>
    </row>
    <row r="22" customFormat="false" ht="15" hidden="false" customHeight="false" outlineLevel="0" collapsed="false">
      <c r="A22" s="1" t="s">
        <v>46</v>
      </c>
      <c r="B22" s="1" t="s">
        <v>47</v>
      </c>
      <c r="C22" s="1" t="s">
        <v>48</v>
      </c>
      <c r="D22" s="1" t="n">
        <v>2002</v>
      </c>
      <c r="E22" s="1" t="s">
        <v>49</v>
      </c>
      <c r="F22" s="2" t="n">
        <v>45778</v>
      </c>
      <c r="G22" s="1" t="n">
        <v>781</v>
      </c>
      <c r="H22" s="1" t="str">
        <f aca="false">IF((YEAR(F22)-D22)&lt;=11,"Avenirs",IF((YEAR(F22)-D22)&lt;=13,"Benjamins",IF((YEAR(F22)-D22)&lt;=18,"Juniors",IF((YEAR(F22)-D22)&lt;=25,"Seniors","Master C"&amp;ROUNDUP((YEAR(F22)-D22-25)/5,0)))))</f>
        <v>Seniors</v>
      </c>
    </row>
    <row r="23" customFormat="false" ht="15" hidden="false" customHeight="false" outlineLevel="0" collapsed="false">
      <c r="A23" s="1" t="s">
        <v>46</v>
      </c>
      <c r="B23" s="1" t="s">
        <v>47</v>
      </c>
      <c r="C23" s="1" t="s">
        <v>50</v>
      </c>
      <c r="D23" s="1" t="n">
        <v>2004</v>
      </c>
      <c r="E23" s="1" t="s">
        <v>51</v>
      </c>
      <c r="F23" s="2" t="n">
        <v>45778</v>
      </c>
      <c r="G23" s="1" t="n">
        <v>754</v>
      </c>
      <c r="H23" s="1" t="str">
        <f aca="false">IF((YEAR(F23)-D23)&lt;=11,"Avenirs",IF((YEAR(F23)-D23)&lt;=13,"Benjamins",IF((YEAR(F23)-D23)&lt;=18,"Juniors",IF((YEAR(F23)-D23)&lt;=25,"Seniors","Master C"&amp;ROUNDUP((YEAR(F23)-D23-25)/5,0)))))</f>
        <v>Seniors</v>
      </c>
    </row>
    <row r="24" customFormat="false" ht="15" hidden="false" customHeight="false" outlineLevel="0" collapsed="false">
      <c r="A24" s="1" t="s">
        <v>46</v>
      </c>
      <c r="B24" s="1" t="s">
        <v>47</v>
      </c>
      <c r="C24" s="1" t="s">
        <v>52</v>
      </c>
      <c r="D24" s="1" t="n">
        <v>2002</v>
      </c>
      <c r="E24" s="1" t="s">
        <v>53</v>
      </c>
      <c r="F24" s="2" t="n">
        <v>45778</v>
      </c>
      <c r="G24" s="1" t="n">
        <v>708</v>
      </c>
      <c r="H24" s="1" t="str">
        <f aca="false">IF((YEAR(F24)-D24)&lt;=11,"Avenirs",IF((YEAR(F24)-D24)&lt;=13,"Benjamins",IF((YEAR(F24)-D24)&lt;=18,"Juniors",IF((YEAR(F24)-D24)&lt;=25,"Seniors","Master C"&amp;ROUNDUP((YEAR(F24)-D24-25)/5,0)))))</f>
        <v>Seniors</v>
      </c>
    </row>
    <row r="25" customFormat="false" ht="15" hidden="false" customHeight="false" outlineLevel="0" collapsed="false">
      <c r="A25" s="1" t="s">
        <v>46</v>
      </c>
      <c r="B25" s="1" t="s">
        <v>47</v>
      </c>
      <c r="C25" s="1" t="s">
        <v>54</v>
      </c>
      <c r="D25" s="1" t="n">
        <v>2009</v>
      </c>
      <c r="E25" s="1" t="s">
        <v>55</v>
      </c>
      <c r="F25" s="2" t="n">
        <v>45778</v>
      </c>
      <c r="G25" s="1" t="n">
        <v>632</v>
      </c>
      <c r="H25" s="1" t="str">
        <f aca="false">IF((YEAR(F25)-D25)&lt;=11,"Avenirs",IF((YEAR(F25)-D25)&lt;=13,"Benjamins",IF((YEAR(F25)-D25)&lt;=18,"Juniors",IF((YEAR(F25)-D25)&lt;=25,"Seniors","Master C"&amp;ROUNDUP((YEAR(F25)-D25-25)/5,0)))))</f>
        <v>Juniors</v>
      </c>
    </row>
    <row r="26" customFormat="false" ht="15" hidden="false" customHeight="false" outlineLevel="0" collapsed="false">
      <c r="A26" s="1" t="s">
        <v>46</v>
      </c>
      <c r="B26" s="1" t="s">
        <v>47</v>
      </c>
      <c r="C26" s="1" t="s">
        <v>56</v>
      </c>
      <c r="D26" s="1" t="n">
        <v>2011</v>
      </c>
      <c r="E26" s="1" t="s">
        <v>57</v>
      </c>
      <c r="F26" s="2" t="n">
        <v>45778</v>
      </c>
      <c r="G26" s="1" t="n">
        <v>340</v>
      </c>
      <c r="H26" s="1" t="str">
        <f aca="false">IF((YEAR(F26)-D26)&lt;=11,"Avenirs",IF((YEAR(F26)-D26)&lt;=13,"Benjamins",IF((YEAR(F26)-D26)&lt;=18,"Juniors",IF((YEAR(F26)-D26)&lt;=25,"Seniors","Master C"&amp;ROUNDUP((YEAR(F26)-D26-25)/5,0)))))</f>
        <v>Juniors</v>
      </c>
    </row>
    <row r="27" customFormat="false" ht="15" hidden="false" customHeight="false" outlineLevel="0" collapsed="false">
      <c r="A27" s="1" t="s">
        <v>46</v>
      </c>
      <c r="B27" s="1" t="s">
        <v>47</v>
      </c>
      <c r="C27" s="1" t="s">
        <v>58</v>
      </c>
      <c r="D27" s="1" t="n">
        <v>2012</v>
      </c>
      <c r="E27" s="1" t="s">
        <v>59</v>
      </c>
      <c r="F27" s="2" t="n">
        <v>45778</v>
      </c>
      <c r="G27" s="1" t="n">
        <v>548</v>
      </c>
      <c r="H27" s="1" t="str">
        <f aca="false">IF((YEAR(F27)-D27)&lt;=11,"Avenirs",IF((YEAR(F27)-D27)&lt;=13,"Benjamins",IF((YEAR(F27)-D27)&lt;=18,"Juniors",IF((YEAR(F27)-D27)&lt;=25,"Seniors","Master C"&amp;ROUNDUP((YEAR(F27)-D27-25)/5,0)))))</f>
        <v>Benjamins</v>
      </c>
    </row>
    <row r="28" customFormat="false" ht="15" hidden="false" customHeight="false" outlineLevel="0" collapsed="false">
      <c r="A28" s="1" t="s">
        <v>46</v>
      </c>
      <c r="B28" s="1" t="s">
        <v>47</v>
      </c>
      <c r="C28" s="1" t="s">
        <v>60</v>
      </c>
      <c r="D28" s="1" t="n">
        <v>2013</v>
      </c>
      <c r="E28" s="1" t="s">
        <v>61</v>
      </c>
      <c r="F28" s="2" t="n">
        <v>45778</v>
      </c>
      <c r="G28" s="1" t="n">
        <v>440</v>
      </c>
      <c r="H28" s="1" t="str">
        <f aca="false">IF((YEAR(F28)-D28)&lt;=11,"Avenirs",IF((YEAR(F28)-D28)&lt;=13,"Benjamins",IF((YEAR(F28)-D28)&lt;=18,"Juniors",IF((YEAR(F28)-D28)&lt;=25,"Seniors","Master C"&amp;ROUNDUP((YEAR(F28)-D28-25)/5,0)))))</f>
        <v>Benjamins</v>
      </c>
    </row>
    <row r="29" customFormat="false" ht="15" hidden="false" customHeight="false" outlineLevel="0" collapsed="false">
      <c r="A29" s="1" t="s">
        <v>46</v>
      </c>
      <c r="B29" s="1" t="s">
        <v>47</v>
      </c>
      <c r="C29" s="1" t="s">
        <v>62</v>
      </c>
      <c r="D29" s="1" t="n">
        <v>2012</v>
      </c>
      <c r="E29" s="1" t="s">
        <v>63</v>
      </c>
      <c r="F29" s="2" t="n">
        <v>45778</v>
      </c>
      <c r="G29" s="1" t="n">
        <v>248</v>
      </c>
      <c r="H29" s="1" t="str">
        <f aca="false">IF((YEAR(F29)-D29)&lt;=11,"Avenirs",IF((YEAR(F29)-D29)&lt;=13,"Benjamins",IF((YEAR(F29)-D29)&lt;=18,"Juniors",IF((YEAR(F29)-D29)&lt;=25,"Seniors","Master C"&amp;ROUNDUP((YEAR(F29)-D29-25)/5,0)))))</f>
        <v>Benjamins</v>
      </c>
    </row>
    <row r="30" customFormat="false" ht="15" hidden="false" customHeight="false" outlineLevel="0" collapsed="false">
      <c r="A30" s="1" t="s">
        <v>46</v>
      </c>
      <c r="B30" s="1" t="s">
        <v>47</v>
      </c>
      <c r="C30" s="1" t="s">
        <v>64</v>
      </c>
      <c r="D30" s="1" t="n">
        <v>2012</v>
      </c>
      <c r="E30" s="1" t="s">
        <v>65</v>
      </c>
      <c r="F30" s="2" t="n">
        <v>45778</v>
      </c>
      <c r="G30" s="1" t="n">
        <v>216</v>
      </c>
      <c r="H30" s="1" t="str">
        <f aca="false">IF((YEAR(F30)-D30)&lt;=11,"Avenirs",IF((YEAR(F30)-D30)&lt;=13,"Benjamins",IF((YEAR(F30)-D30)&lt;=18,"Juniors",IF((YEAR(F30)-D30)&lt;=25,"Seniors","Master C"&amp;ROUNDUP((YEAR(F30)-D30-25)/5,0)))))</f>
        <v>Benjamins</v>
      </c>
    </row>
    <row r="31" customFormat="false" ht="15" hidden="false" customHeight="false" outlineLevel="0" collapsed="false">
      <c r="A31" s="1" t="s">
        <v>46</v>
      </c>
      <c r="B31" s="1" t="s">
        <v>47</v>
      </c>
      <c r="C31" s="1" t="s">
        <v>66</v>
      </c>
      <c r="D31" s="1" t="n">
        <v>2012</v>
      </c>
      <c r="E31" s="1" t="s">
        <v>67</v>
      </c>
      <c r="F31" s="2" t="n">
        <v>45778</v>
      </c>
      <c r="G31" s="1" t="n">
        <v>213</v>
      </c>
      <c r="H31" s="1" t="str">
        <f aca="false">IF((YEAR(F31)-D31)&lt;=11,"Avenirs",IF((YEAR(F31)-D31)&lt;=13,"Benjamins",IF((YEAR(F31)-D31)&lt;=18,"Juniors",IF((YEAR(F31)-D31)&lt;=25,"Seniors","Master C"&amp;ROUNDUP((YEAR(F31)-D31-25)/5,0)))))</f>
        <v>Benjamins</v>
      </c>
    </row>
    <row r="32" customFormat="false" ht="15" hidden="false" customHeight="false" outlineLevel="0" collapsed="false">
      <c r="A32" s="1" t="s">
        <v>46</v>
      </c>
      <c r="B32" s="1" t="s">
        <v>47</v>
      </c>
      <c r="C32" s="1" t="s">
        <v>68</v>
      </c>
      <c r="D32" s="1" t="n">
        <v>2013</v>
      </c>
      <c r="E32" s="1" t="s">
        <v>69</v>
      </c>
      <c r="F32" s="2" t="n">
        <v>45778</v>
      </c>
      <c r="G32" s="1" t="n">
        <v>191</v>
      </c>
      <c r="H32" s="1" t="str">
        <f aca="false">IF((YEAR(F32)-D32)&lt;=11,"Avenirs",IF((YEAR(F32)-D32)&lt;=13,"Benjamins",IF((YEAR(F32)-D32)&lt;=18,"Juniors",IF((YEAR(F32)-D32)&lt;=25,"Seniors","Master C"&amp;ROUNDUP((YEAR(F32)-D32-25)/5,0)))))</f>
        <v>Benjamins</v>
      </c>
    </row>
    <row r="33" customFormat="false" ht="15" hidden="false" customHeight="false" outlineLevel="0" collapsed="false">
      <c r="A33" s="1" t="s">
        <v>46</v>
      </c>
      <c r="B33" s="1" t="s">
        <v>47</v>
      </c>
      <c r="C33" s="1" t="s">
        <v>70</v>
      </c>
      <c r="D33" s="1" t="n">
        <v>2014</v>
      </c>
      <c r="E33" s="1" t="s">
        <v>71</v>
      </c>
      <c r="F33" s="2" t="n">
        <v>45778</v>
      </c>
      <c r="G33" s="1" t="n">
        <v>78</v>
      </c>
      <c r="H33" s="1" t="str">
        <f aca="false">IF((YEAR(F33)-D33)&lt;=11,"Avenirs",IF((YEAR(F33)-D33)&lt;=13,"Benjamins",IF((YEAR(F33)-D33)&lt;=18,"Juniors",IF((YEAR(F33)-D33)&lt;=25,"Seniors","Master C"&amp;ROUNDUP((YEAR(F33)-D33-25)/5,0)))))</f>
        <v>Avenirs</v>
      </c>
    </row>
    <row r="34" customFormat="false" ht="15" hidden="false" customHeight="false" outlineLevel="0" collapsed="false">
      <c r="A34" s="1" t="s">
        <v>46</v>
      </c>
      <c r="B34" s="1" t="s">
        <v>47</v>
      </c>
      <c r="C34" s="1" t="s">
        <v>72</v>
      </c>
      <c r="D34" s="1" t="n">
        <v>2015</v>
      </c>
      <c r="E34" s="1" t="s">
        <v>73</v>
      </c>
      <c r="F34" s="2" t="n">
        <v>45778</v>
      </c>
      <c r="G34" s="1" t="n">
        <v>61</v>
      </c>
      <c r="H34" s="1" t="str">
        <f aca="false">IF((YEAR(F34)-D34)&lt;=11,"Avenirs",IF((YEAR(F34)-D34)&lt;=13,"Benjamins",IF((YEAR(F34)-D34)&lt;=18,"Juniors",IF((YEAR(F34)-D34)&lt;=25,"Seniors","Master C"&amp;ROUNDUP((YEAR(F34)-D34-25)/5,0)))))</f>
        <v>Avenirs</v>
      </c>
    </row>
    <row r="35" customFormat="false" ht="13.8" hidden="false" customHeight="false" outlineLevel="0" collapsed="false">
      <c r="A35" s="1" t="s">
        <v>74</v>
      </c>
      <c r="B35" s="1" t="s">
        <v>47</v>
      </c>
      <c r="C35" s="1" t="s">
        <v>52</v>
      </c>
      <c r="D35" s="1" t="n">
        <v>2002</v>
      </c>
      <c r="E35" s="1" t="s">
        <v>75</v>
      </c>
      <c r="F35" s="2" t="n">
        <v>45778</v>
      </c>
      <c r="G35" s="1" t="n">
        <v>516</v>
      </c>
      <c r="H35" s="1" t="str">
        <f aca="false">IF((YEAR(F35)-D35)&lt;=11,"Avenirs",IF((YEAR(F35)-D35)&lt;=13,"Benjamins",IF((YEAR(F35)-D35)&lt;=18,"Juniors",IF((YEAR(F35)-D35)&lt;=25,"Seniors","Master C"&amp;ROUNDUP((YEAR(F35)-D35-25)/5,0)))))</f>
        <v>Seniors</v>
      </c>
    </row>
    <row r="36" customFormat="false" ht="13.8" hidden="false" customHeight="false" outlineLevel="0" collapsed="false">
      <c r="A36" s="1" t="s">
        <v>74</v>
      </c>
      <c r="B36" s="1" t="s">
        <v>47</v>
      </c>
      <c r="C36" s="1" t="s">
        <v>54</v>
      </c>
      <c r="D36" s="1" t="n">
        <v>2009</v>
      </c>
      <c r="E36" s="1" t="s">
        <v>76</v>
      </c>
      <c r="F36" s="2" t="n">
        <v>45778</v>
      </c>
      <c r="G36" s="1" t="n">
        <v>490</v>
      </c>
      <c r="H36" s="1" t="str">
        <f aca="false">IF((YEAR(F36)-D36)&lt;=11,"Avenirs",IF((YEAR(F36)-D36)&lt;=13,"Benjamins",IF((YEAR(F36)-D36)&lt;=18,"Juniors",IF((YEAR(F36)-D36)&lt;=25,"Seniors","Master C"&amp;ROUNDUP((YEAR(F36)-D36-25)/5,0)))))</f>
        <v>Juniors</v>
      </c>
    </row>
    <row r="37" customFormat="false" ht="13.8" hidden="false" customHeight="false" outlineLevel="0" collapsed="false">
      <c r="A37" s="1" t="str">
        <f aca="false">"50 Brasse Messieurs"</f>
        <v>50 Brasse Messieurs</v>
      </c>
      <c r="B37" s="1" t="s">
        <v>9</v>
      </c>
      <c r="C37" s="1" t="s">
        <v>10</v>
      </c>
      <c r="D37" s="1" t="n">
        <v>1983</v>
      </c>
      <c r="E37" s="1" t="s">
        <v>77</v>
      </c>
      <c r="F37" s="2" t="n">
        <v>45778</v>
      </c>
      <c r="G37" s="1" t="n">
        <v>625</v>
      </c>
      <c r="H37" s="1" t="str">
        <f aca="false">IF((YEAR(F37)-D37)&lt;=11,"Avenirs",IF((YEAR(F37)-D37)&lt;=13,"Benjamins",IF((YEAR(F37)-D37)&lt;=18,"Juniors",IF((YEAR(F37)-D37)&lt;=25,"Seniors","Master C"&amp;ROUNDUP((YEAR(F37)-D37-25)/5,0)))))</f>
        <v>Master C4</v>
      </c>
    </row>
    <row r="38" customFormat="false" ht="13.8" hidden="false" customHeight="false" outlineLevel="0" collapsed="false">
      <c r="A38" s="1" t="str">
        <f aca="false">"50 Brasse Messieurs"</f>
        <v>50 Brasse Messieurs</v>
      </c>
      <c r="B38" s="1" t="s">
        <v>9</v>
      </c>
      <c r="C38" s="1" t="s">
        <v>18</v>
      </c>
      <c r="D38" s="1" t="n">
        <v>1993</v>
      </c>
      <c r="E38" s="1" t="s">
        <v>78</v>
      </c>
      <c r="F38" s="2" t="n">
        <v>45778</v>
      </c>
      <c r="G38" s="1" t="n">
        <v>620</v>
      </c>
      <c r="H38" s="1" t="str">
        <f aca="false">IF((YEAR(F38)-D38)&lt;=11,"Avenirs",IF((YEAR(F38)-D38)&lt;=13,"Benjamins",IF((YEAR(F38)-D38)&lt;=18,"Juniors",IF((YEAR(F38)-D38)&lt;=25,"Seniors","Master C"&amp;ROUNDUP((YEAR(F38)-D38-25)/5,0)))))</f>
        <v>Master C2</v>
      </c>
    </row>
    <row r="39" customFormat="false" ht="13.8" hidden="false" customHeight="false" outlineLevel="0" collapsed="false">
      <c r="A39" s="1" t="str">
        <f aca="false">"50 Brasse Messieurs"</f>
        <v>50 Brasse Messieurs</v>
      </c>
      <c r="B39" s="1" t="s">
        <v>9</v>
      </c>
      <c r="C39" s="1" t="s">
        <v>38</v>
      </c>
      <c r="D39" s="1" t="n">
        <v>2010</v>
      </c>
      <c r="E39" s="1" t="s">
        <v>79</v>
      </c>
      <c r="F39" s="2" t="n">
        <v>45778</v>
      </c>
      <c r="G39" s="1" t="n">
        <v>207</v>
      </c>
      <c r="H39" s="1" t="str">
        <f aca="false">IF((YEAR(F39)-D39)&lt;=11,"Avenirs",IF((YEAR(F39)-D39)&lt;=13,"Benjamins",IF((YEAR(F39)-D39)&lt;=18,"Juniors",IF((YEAR(F39)-D39)&lt;=25,"Seniors","Master C"&amp;ROUNDUP((YEAR(F39)-D39-25)/5,0)))))</f>
        <v>Juniors</v>
      </c>
    </row>
    <row r="40" customFormat="false" ht="13.8" hidden="false" customHeight="false" outlineLevel="0" collapsed="false">
      <c r="A40" s="1" t="str">
        <f aca="false">"50 Brasse Messieurs"</f>
        <v>50 Brasse Messieurs</v>
      </c>
      <c r="B40" s="1" t="s">
        <v>9</v>
      </c>
      <c r="C40" s="1" t="s">
        <v>42</v>
      </c>
      <c r="D40" s="1" t="n">
        <v>2012</v>
      </c>
      <c r="E40" s="1" t="s">
        <v>80</v>
      </c>
      <c r="F40" s="2" t="n">
        <v>45778</v>
      </c>
      <c r="G40" s="1" t="n">
        <v>192</v>
      </c>
      <c r="H40" s="1" t="str">
        <f aca="false">IF((YEAR(F40)-D40)&lt;=11,"Avenirs",IF((YEAR(F40)-D40)&lt;=13,"Benjamins",IF((YEAR(F40)-D40)&lt;=18,"Juniors",IF((YEAR(F40)-D40)&lt;=25,"Seniors","Master C"&amp;ROUNDUP((YEAR(F40)-D40-25)/5,0)))))</f>
        <v>Benjamins</v>
      </c>
    </row>
    <row r="41" customFormat="false" ht="15" hidden="false" customHeight="false" outlineLevel="0" collapsed="false">
      <c r="A41" s="1" t="s">
        <v>81</v>
      </c>
      <c r="B41" s="1" t="s">
        <v>47</v>
      </c>
      <c r="C41" s="1" t="s">
        <v>48</v>
      </c>
      <c r="D41" s="1" t="n">
        <v>2002</v>
      </c>
      <c r="E41" s="1" t="s">
        <v>82</v>
      </c>
      <c r="F41" s="2" t="n">
        <v>45778</v>
      </c>
      <c r="G41" s="1" t="n">
        <v>672</v>
      </c>
      <c r="H41" s="1" t="str">
        <f aca="false">IF((YEAR(F41)-D41)&lt;=11,"Avenirs",IF((YEAR(F41)-D41)&lt;=13,"Benjamins",IF((YEAR(F41)-D41)&lt;=18,"Juniors",IF((YEAR(F41)-D41)&lt;=25,"Seniors","Master C"&amp;ROUNDUP((YEAR(F41)-D41-25)/5,0)))))</f>
        <v>Seniors</v>
      </c>
    </row>
    <row r="42" customFormat="false" ht="15" hidden="false" customHeight="false" outlineLevel="0" collapsed="false">
      <c r="A42" s="1" t="s">
        <v>81</v>
      </c>
      <c r="B42" s="1" t="s">
        <v>47</v>
      </c>
      <c r="C42" s="1" t="s">
        <v>56</v>
      </c>
      <c r="D42" s="1" t="n">
        <v>2011</v>
      </c>
      <c r="E42" s="1" t="s">
        <v>83</v>
      </c>
      <c r="F42" s="2" t="n">
        <v>45778</v>
      </c>
      <c r="G42" s="1" t="n">
        <v>337</v>
      </c>
      <c r="H42" s="1" t="str">
        <f aca="false">IF((YEAR(F42)-D42)&lt;=11,"Avenirs",IF((YEAR(F42)-D42)&lt;=13,"Benjamins",IF((YEAR(F42)-D42)&lt;=18,"Juniors",IF((YEAR(F42)-D42)&lt;=25,"Seniors","Master C"&amp;ROUNDUP((YEAR(F42)-D42-25)/5,0)))))</f>
        <v>Juniors</v>
      </c>
    </row>
    <row r="43" customFormat="false" ht="15" hidden="false" customHeight="false" outlineLevel="0" collapsed="false">
      <c r="A43" s="1" t="s">
        <v>81</v>
      </c>
      <c r="B43" s="1" t="s">
        <v>47</v>
      </c>
      <c r="C43" s="1" t="s">
        <v>58</v>
      </c>
      <c r="D43" s="1" t="n">
        <v>2010</v>
      </c>
      <c r="E43" s="1" t="s">
        <v>84</v>
      </c>
      <c r="F43" s="2" t="n">
        <v>45778</v>
      </c>
      <c r="G43" s="1" t="n">
        <v>429</v>
      </c>
      <c r="H43" s="1" t="s">
        <v>85</v>
      </c>
    </row>
    <row r="44" customFormat="false" ht="15" hidden="false" customHeight="false" outlineLevel="0" collapsed="false">
      <c r="A44" s="1" t="s">
        <v>81</v>
      </c>
      <c r="B44" s="1" t="s">
        <v>47</v>
      </c>
      <c r="C44" s="1" t="s">
        <v>68</v>
      </c>
      <c r="D44" s="1" t="n">
        <v>2012</v>
      </c>
      <c r="E44" s="1" t="s">
        <v>86</v>
      </c>
      <c r="F44" s="2" t="n">
        <v>45778</v>
      </c>
      <c r="G44" s="1" t="n">
        <v>354</v>
      </c>
      <c r="H44" s="1" t="str">
        <f aca="false">IF((YEAR(F44)-D44)&lt;=11,"Avenirs",IF((YEAR(F44)-D44)&lt;=13,"Benjamins",IF((YEAR(F44)-D44)&lt;=18,"Juniors",IF((YEAR(F44)-D44)&lt;=25,"Seniors","Master C"&amp;ROUNDUP((YEAR(F44)-D44-25)/5,0)))))</f>
        <v>Benjamins</v>
      </c>
    </row>
    <row r="45" customFormat="false" ht="15" hidden="false" customHeight="false" outlineLevel="0" collapsed="false">
      <c r="A45" s="1" t="s">
        <v>81</v>
      </c>
      <c r="B45" s="1" t="s">
        <v>47</v>
      </c>
      <c r="C45" s="1" t="s">
        <v>66</v>
      </c>
      <c r="D45" s="1" t="n">
        <v>2013</v>
      </c>
      <c r="E45" s="1" t="s">
        <v>87</v>
      </c>
      <c r="F45" s="2" t="n">
        <v>45778</v>
      </c>
      <c r="G45" s="1" t="n">
        <v>298</v>
      </c>
      <c r="H45" s="1" t="str">
        <f aca="false">IF((YEAR(F45)-D45)&lt;=11,"Avenirs",IF((YEAR(F45)-D45)&lt;=13,"Benjamins",IF((YEAR(F45)-D45)&lt;=18,"Juniors",IF((YEAR(F45)-D45)&lt;=25,"Seniors","Master C"&amp;ROUNDUP((YEAR(F45)-D45-25)/5,0)))))</f>
        <v>Benjamins</v>
      </c>
    </row>
    <row r="46" customFormat="false" ht="15" hidden="false" customHeight="false" outlineLevel="0" collapsed="false">
      <c r="A46" s="1" t="s">
        <v>81</v>
      </c>
      <c r="B46" s="1" t="s">
        <v>47</v>
      </c>
      <c r="C46" s="1" t="s">
        <v>64</v>
      </c>
      <c r="D46" s="1" t="n">
        <v>2012</v>
      </c>
      <c r="E46" s="1" t="s">
        <v>88</v>
      </c>
      <c r="F46" s="2" t="n">
        <v>45778</v>
      </c>
      <c r="G46" s="1" t="n">
        <v>269</v>
      </c>
      <c r="H46" s="1" t="str">
        <f aca="false">IF((YEAR(F46)-D46)&lt;=11,"Avenirs",IF((YEAR(F46)-D46)&lt;=13,"Benjamins",IF((YEAR(F46)-D46)&lt;=18,"Juniors",IF((YEAR(F46)-D46)&lt;=25,"Seniors","Master C"&amp;ROUNDUP((YEAR(F46)-D46-25)/5,0)))))</f>
        <v>Benjamins</v>
      </c>
    </row>
    <row r="47" customFormat="false" ht="15" hidden="false" customHeight="false" outlineLevel="0" collapsed="false">
      <c r="A47" s="1" t="s">
        <v>81</v>
      </c>
      <c r="B47" s="1" t="s">
        <v>47</v>
      </c>
      <c r="C47" s="1" t="s">
        <v>62</v>
      </c>
      <c r="D47" s="1" t="n">
        <v>2012</v>
      </c>
      <c r="E47" s="1" t="s">
        <v>89</v>
      </c>
      <c r="F47" s="2" t="n">
        <v>45778</v>
      </c>
      <c r="G47" s="1" t="n">
        <v>214</v>
      </c>
      <c r="H47" s="1" t="str">
        <f aca="false">IF((YEAR(F47)-D47)&lt;=11,"Avenirs",IF((YEAR(F47)-D47)&lt;=13,"Benjamins",IF((YEAR(F47)-D47)&lt;=18,"Juniors",IF((YEAR(F47)-D47)&lt;=25,"Seniors","Master C"&amp;ROUNDUP((YEAR(F47)-D47-25)/5,0)))))</f>
        <v>Benjamins</v>
      </c>
    </row>
    <row r="48" customFormat="false" ht="15" hidden="false" customHeight="false" outlineLevel="0" collapsed="false">
      <c r="A48" s="1" t="s">
        <v>81</v>
      </c>
      <c r="B48" s="1" t="s">
        <v>47</v>
      </c>
      <c r="C48" s="1" t="s">
        <v>60</v>
      </c>
      <c r="D48" s="1" t="n">
        <v>2013</v>
      </c>
      <c r="E48" s="1" t="s">
        <v>90</v>
      </c>
      <c r="F48" s="2" t="n">
        <v>45778</v>
      </c>
      <c r="G48" s="1" t="n">
        <v>91</v>
      </c>
      <c r="H48" s="1" t="str">
        <f aca="false">IF((YEAR(F48)-D48)&lt;=11,"Avenirs",IF((YEAR(F48)-D48)&lt;=13,"Benjamins",IF((YEAR(F48)-D48)&lt;=18,"Juniors",IF((YEAR(F48)-D48)&lt;=25,"Seniors","Master C"&amp;ROUNDUP((YEAR(F48)-D48-25)/5,0)))))</f>
        <v>Benjamins</v>
      </c>
    </row>
    <row r="49" customFormat="false" ht="15" hidden="false" customHeight="false" outlineLevel="0" collapsed="false">
      <c r="A49" s="1" t="s">
        <v>81</v>
      </c>
      <c r="B49" s="1" t="s">
        <v>47</v>
      </c>
      <c r="C49" s="1" t="s">
        <v>70</v>
      </c>
      <c r="D49" s="1" t="n">
        <v>2014</v>
      </c>
      <c r="E49" s="1" t="s">
        <v>91</v>
      </c>
      <c r="F49" s="2" t="n">
        <v>45778</v>
      </c>
      <c r="G49" s="1" t="n">
        <v>141</v>
      </c>
      <c r="H49" s="1" t="str">
        <f aca="false">IF((YEAR(F49)-D49)&lt;=11,"Avenirs",IF((YEAR(F49)-D49)&lt;=13,"Benjamins",IF((YEAR(F49)-D49)&lt;=18,"Juniors",IF((YEAR(F49)-D49)&lt;=25,"Seniors","Master C"&amp;ROUNDUP((YEAR(F49)-D49-25)/5,0)))))</f>
        <v>Avenirs</v>
      </c>
    </row>
    <row r="50" customFormat="false" ht="13.8" hidden="false" customHeight="false" outlineLevel="0" collapsed="false">
      <c r="A50" s="1" t="s">
        <v>81</v>
      </c>
      <c r="B50" s="1" t="s">
        <v>47</v>
      </c>
      <c r="C50" s="1" t="s">
        <v>72</v>
      </c>
      <c r="D50" s="1" t="n">
        <v>2015</v>
      </c>
      <c r="E50" s="1" t="s">
        <v>92</v>
      </c>
      <c r="F50" s="2" t="n">
        <v>45778</v>
      </c>
      <c r="G50" s="1" t="n">
        <v>114</v>
      </c>
      <c r="H50" s="1" t="str">
        <f aca="false">IF((YEAR(F50)-D50)&lt;=11,"Avenirs",IF((YEAR(F50)-D50)&lt;=13,"Benjamins",IF((YEAR(F50)-D50)&lt;=18,"Juniors",IF((YEAR(F50)-D50)&lt;=25,"Seniors","Master C"&amp;ROUNDUP((YEAR(F50)-D50-25)/5,0)))))</f>
        <v>Avenirs</v>
      </c>
    </row>
    <row r="51" customFormat="false" ht="13.8" hidden="false" customHeight="false" outlineLevel="0" collapsed="false">
      <c r="A51" s="1" t="s">
        <v>46</v>
      </c>
      <c r="B51" s="1" t="s">
        <v>47</v>
      </c>
      <c r="C51" s="1" t="s">
        <v>58</v>
      </c>
      <c r="D51" s="1" t="n">
        <v>2012</v>
      </c>
      <c r="E51" s="1" t="s">
        <v>93</v>
      </c>
      <c r="F51" s="3" t="s">
        <v>94</v>
      </c>
      <c r="G51" s="1" t="n">
        <v>539</v>
      </c>
      <c r="H51" s="1" t="str">
        <f aca="false">IF((YEAR(F51)-D51)&lt;=11,"Avenirs",IF((YEAR(F51)-D51)&lt;=13,"Benjamins",IF((YEAR(F51)-D51)&lt;=18,"Juniors",IF((YEAR(F51)-D51)&lt;=25,"Seniors","Master C"&amp;ROUNDUP((YEAR(F51)-D51-25)/5,0)))))</f>
        <v>Benjamins</v>
      </c>
    </row>
    <row r="52" customFormat="false" ht="13.8" hidden="false" customHeight="false" outlineLevel="0" collapsed="false">
      <c r="A52" s="1" t="s">
        <v>46</v>
      </c>
      <c r="B52" s="1" t="s">
        <v>47</v>
      </c>
      <c r="C52" s="1" t="s">
        <v>62</v>
      </c>
      <c r="D52" s="1" t="n">
        <v>2012</v>
      </c>
      <c r="E52" s="1" t="s">
        <v>95</v>
      </c>
      <c r="F52" s="3" t="s">
        <v>94</v>
      </c>
      <c r="G52" s="1" t="n">
        <v>398</v>
      </c>
      <c r="H52" s="1" t="str">
        <f aca="false">IF((YEAR(F52)-D52)&lt;=11,"Avenirs",IF((YEAR(F52)-D52)&lt;=13,"Benjamins",IF((YEAR(F52)-D52)&lt;=18,"Juniors",IF((YEAR(F52)-D52)&lt;=25,"Seniors","Master C"&amp;ROUNDUP((YEAR(F52)-D52-25)/5,0)))))</f>
        <v>Benjamins</v>
      </c>
    </row>
    <row r="53" customFormat="false" ht="13.8" hidden="false" customHeight="false" outlineLevel="0" collapsed="false">
      <c r="A53" s="1" t="s">
        <v>46</v>
      </c>
      <c r="B53" s="1" t="s">
        <v>47</v>
      </c>
      <c r="C53" s="1" t="s">
        <v>96</v>
      </c>
      <c r="D53" s="1" t="n">
        <v>2010</v>
      </c>
      <c r="E53" s="1" t="s">
        <v>97</v>
      </c>
      <c r="F53" s="3" t="s">
        <v>94</v>
      </c>
      <c r="G53" s="1" t="n">
        <v>388</v>
      </c>
      <c r="H53" s="1" t="str">
        <f aca="false">IF((YEAR(F53)-D53)&lt;=11,"Avenirs",IF((YEAR(F53)-D53)&lt;=13,"Benjamins",IF((YEAR(F53)-D53)&lt;=18,"Juniors",IF((YEAR(F53)-D53)&lt;=25,"Seniors","Master C"&amp;ROUNDUP((YEAR(F53)-D53-25)/5,0)))))</f>
        <v>Juniors</v>
      </c>
    </row>
    <row r="54" customFormat="false" ht="13.8" hidden="false" customHeight="false" outlineLevel="0" collapsed="false">
      <c r="A54" s="1" t="s">
        <v>46</v>
      </c>
      <c r="B54" s="1" t="s">
        <v>47</v>
      </c>
      <c r="C54" s="1" t="s">
        <v>98</v>
      </c>
      <c r="D54" s="1" t="n">
        <v>2014</v>
      </c>
      <c r="E54" s="1" t="s">
        <v>99</v>
      </c>
      <c r="F54" s="3" t="s">
        <v>94</v>
      </c>
      <c r="G54" s="1" t="n">
        <v>377</v>
      </c>
      <c r="H54" s="1" t="str">
        <f aca="false">IF((YEAR(F54)-D54)&lt;=11,"Avenirs",IF((YEAR(F54)-D54)&lt;=13,"Benjamins",IF((YEAR(F54)-D54)&lt;=18,"Juniors",IF((YEAR(F54)-D54)&lt;=25,"Seniors","Master C"&amp;ROUNDUP((YEAR(F54)-D54-25)/5,0)))))</f>
        <v>Avenirs</v>
      </c>
    </row>
    <row r="55" customFormat="false" ht="13.8" hidden="false" customHeight="false" outlineLevel="0" collapsed="false">
      <c r="A55" s="1" t="s">
        <v>46</v>
      </c>
      <c r="B55" s="1" t="s">
        <v>47</v>
      </c>
      <c r="C55" s="1" t="s">
        <v>68</v>
      </c>
      <c r="D55" s="1" t="n">
        <v>2013</v>
      </c>
      <c r="E55" s="1" t="s">
        <v>100</v>
      </c>
      <c r="F55" s="3" t="s">
        <v>94</v>
      </c>
      <c r="G55" s="1" t="n">
        <v>354</v>
      </c>
      <c r="H55" s="1" t="str">
        <f aca="false">IF((YEAR(F55)-D55)&lt;=11,"Avenirs",IF((YEAR(F55)-D55)&lt;=13,"Benjamins",IF((YEAR(F55)-D55)&lt;=18,"Juniors",IF((YEAR(F55)-D55)&lt;=25,"Seniors","Master C"&amp;ROUNDUP((YEAR(F55)-D55-25)/5,0)))))</f>
        <v>Benjamins</v>
      </c>
    </row>
    <row r="56" customFormat="false" ht="13.8" hidden="false" customHeight="false" outlineLevel="0" collapsed="false">
      <c r="A56" s="1" t="s">
        <v>46</v>
      </c>
      <c r="B56" s="1" t="s">
        <v>47</v>
      </c>
      <c r="C56" s="1" t="s">
        <v>66</v>
      </c>
      <c r="D56" s="1" t="n">
        <v>2012</v>
      </c>
      <c r="E56" s="1" t="s">
        <v>101</v>
      </c>
      <c r="F56" s="3" t="s">
        <v>94</v>
      </c>
      <c r="G56" s="1" t="n">
        <v>344</v>
      </c>
      <c r="H56" s="1" t="str">
        <f aca="false">IF((YEAR(F56)-D56)&lt;=11,"Avenirs",IF((YEAR(F56)-D56)&lt;=13,"Benjamins",IF((YEAR(F56)-D56)&lt;=18,"Juniors",IF((YEAR(F56)-D56)&lt;=25,"Seniors","Master C"&amp;ROUNDUP((YEAR(F56)-D56-25)/5,0)))))</f>
        <v>Benjamins</v>
      </c>
    </row>
    <row r="57" customFormat="false" ht="13.8" hidden="false" customHeight="false" outlineLevel="0" collapsed="false">
      <c r="A57" s="1" t="s">
        <v>46</v>
      </c>
      <c r="B57" s="1" t="s">
        <v>47</v>
      </c>
      <c r="C57" s="1" t="s">
        <v>56</v>
      </c>
      <c r="D57" s="1" t="n">
        <v>2011</v>
      </c>
      <c r="E57" s="1" t="s">
        <v>102</v>
      </c>
      <c r="F57" s="3" t="s">
        <v>94</v>
      </c>
      <c r="G57" s="1" t="n">
        <v>334</v>
      </c>
      <c r="H57" s="1" t="str">
        <f aca="false">IF((YEAR(F57)-D57)&lt;=11,"Avenirs",IF((YEAR(F57)-D57)&lt;=13,"Benjamins",IF((YEAR(F57)-D57)&lt;=18,"Juniors",IF((YEAR(F57)-D57)&lt;=25,"Seniors","Master C"&amp;ROUNDUP((YEAR(F57)-D57-25)/5,0)))))</f>
        <v>Juniors</v>
      </c>
    </row>
    <row r="58" customFormat="false" ht="13.8" hidden="false" customHeight="false" outlineLevel="0" collapsed="false">
      <c r="A58" s="1" t="s">
        <v>46</v>
      </c>
      <c r="B58" s="1" t="s">
        <v>47</v>
      </c>
      <c r="C58" s="1" t="s">
        <v>103</v>
      </c>
      <c r="D58" s="1" t="n">
        <v>2014</v>
      </c>
      <c r="E58" s="1" t="s">
        <v>104</v>
      </c>
      <c r="F58" s="3" t="s">
        <v>94</v>
      </c>
      <c r="G58" s="1" t="n">
        <v>318</v>
      </c>
      <c r="H58" s="1" t="str">
        <f aca="false">IF((YEAR(F58)-D58)&lt;=11,"Avenirs",IF((YEAR(F58)-D58)&lt;=13,"Benjamins",IF((YEAR(F58)-D58)&lt;=18,"Juniors",IF((YEAR(F58)-D58)&lt;=25,"Seniors","Master C"&amp;ROUNDUP((YEAR(F58)-D58-25)/5,0)))))</f>
        <v>Avenirs</v>
      </c>
    </row>
    <row r="59" customFormat="false" ht="13.8" hidden="false" customHeight="false" outlineLevel="0" collapsed="false">
      <c r="A59" s="1" t="s">
        <v>46</v>
      </c>
      <c r="B59" s="1" t="s">
        <v>47</v>
      </c>
      <c r="C59" s="1" t="s">
        <v>70</v>
      </c>
      <c r="D59" s="1" t="n">
        <v>2014</v>
      </c>
      <c r="E59" s="1" t="s">
        <v>105</v>
      </c>
      <c r="F59" s="3" t="s">
        <v>94</v>
      </c>
      <c r="G59" s="1" t="n">
        <v>204</v>
      </c>
      <c r="H59" s="1" t="str">
        <f aca="false">IF((YEAR(F59)-D59)&lt;=11,"Avenirs",IF((YEAR(F59)-D59)&lt;=13,"Benjamins",IF((YEAR(F59)-D59)&lt;=18,"Juniors",IF((YEAR(F59)-D59)&lt;=25,"Seniors","Master C"&amp;ROUNDUP((YEAR(F59)-D59-25)/5,0)))))</f>
        <v>Avenirs</v>
      </c>
    </row>
    <row r="60" customFormat="false" ht="13.8" hidden="false" customHeight="false" outlineLevel="0" collapsed="false">
      <c r="A60" s="1" t="s">
        <v>46</v>
      </c>
      <c r="B60" s="1" t="s">
        <v>47</v>
      </c>
      <c r="C60" s="1" t="s">
        <v>106</v>
      </c>
      <c r="D60" s="1" t="n">
        <v>2010</v>
      </c>
      <c r="E60" s="1" t="s">
        <v>107</v>
      </c>
      <c r="F60" s="3" t="s">
        <v>94</v>
      </c>
      <c r="G60" s="1" t="n">
        <v>158</v>
      </c>
      <c r="H60" s="1" t="str">
        <f aca="false">IF((YEAR(F60)-D60)&lt;=11,"Avenirs",IF((YEAR(F60)-D60)&lt;=13,"Benjamins",IF((YEAR(F60)-D60)&lt;=18,"Juniors",IF((YEAR(F60)-D60)&lt;=25,"Seniors","Master C"&amp;ROUNDUP((YEAR(F60)-D60-25)/5,0)))))</f>
        <v>Juniors</v>
      </c>
    </row>
    <row r="61" customFormat="false" ht="13.8" hidden="false" customHeight="false" outlineLevel="0" collapsed="false">
      <c r="A61" s="1" t="s">
        <v>46</v>
      </c>
      <c r="B61" s="1" t="s">
        <v>47</v>
      </c>
      <c r="C61" s="1" t="s">
        <v>108</v>
      </c>
      <c r="D61" s="1" t="n">
        <v>2013</v>
      </c>
      <c r="E61" s="1" t="s">
        <v>109</v>
      </c>
      <c r="F61" s="3" t="s">
        <v>94</v>
      </c>
      <c r="G61" s="1" t="n">
        <v>144</v>
      </c>
      <c r="H61" s="1" t="str">
        <f aca="false">IF((YEAR(F61)-D61)&lt;=11,"Avenirs",IF((YEAR(F61)-D61)&lt;=13,"Benjamins",IF((YEAR(F61)-D61)&lt;=18,"Juniors",IF((YEAR(F61)-D61)&lt;=25,"Seniors","Master C"&amp;ROUNDUP((YEAR(F61)-D61-25)/5,0)))))</f>
        <v>Benjamins</v>
      </c>
    </row>
    <row r="62" customFormat="false" ht="13.8" hidden="false" customHeight="false" outlineLevel="0" collapsed="false">
      <c r="A62" s="1" t="s">
        <v>110</v>
      </c>
      <c r="B62" s="1" t="s">
        <v>47</v>
      </c>
      <c r="C62" s="1" t="s">
        <v>58</v>
      </c>
      <c r="D62" s="1" t="n">
        <v>2012</v>
      </c>
      <c r="E62" s="1" t="s">
        <v>111</v>
      </c>
      <c r="F62" s="3" t="s">
        <v>94</v>
      </c>
      <c r="G62" s="1" t="n">
        <v>493</v>
      </c>
      <c r="H62" s="1" t="str">
        <f aca="false">IF((YEAR(F62)-D62)&lt;=11,"Avenirs",IF((YEAR(F62)-D62)&lt;=13,"Benjamins",IF((YEAR(F62)-D62)&lt;=18,"Juniors",IF((YEAR(F62)-D62)&lt;=25,"Seniors","Master C"&amp;ROUNDUP((YEAR(F62)-D62-25)/5,0)))))</f>
        <v>Benjamins</v>
      </c>
    </row>
    <row r="63" customFormat="false" ht="13.8" hidden="false" customHeight="false" outlineLevel="0" collapsed="false">
      <c r="A63" s="1" t="s">
        <v>110</v>
      </c>
      <c r="B63" s="1" t="s">
        <v>47</v>
      </c>
      <c r="C63" s="1" t="s">
        <v>96</v>
      </c>
      <c r="D63" s="1" t="n">
        <v>2010</v>
      </c>
      <c r="E63" s="1" t="s">
        <v>112</v>
      </c>
      <c r="F63" s="3" t="s">
        <v>94</v>
      </c>
      <c r="G63" s="1" t="n">
        <v>224</v>
      </c>
      <c r="H63" s="1" t="str">
        <f aca="false">IF((YEAR(F63)-D63)&lt;=11,"Avenirs",IF((YEAR(F63)-D63)&lt;=13,"Benjamins",IF((YEAR(F63)-D63)&lt;=18,"Juniors",IF((YEAR(F63)-D63)&lt;=25,"Seniors","Master C"&amp;ROUNDUP((YEAR(F63)-D63-25)/5,0)))))</f>
        <v>Juniors</v>
      </c>
    </row>
    <row r="64" customFormat="false" ht="13.8" hidden="false" customHeight="false" outlineLevel="0" collapsed="false">
      <c r="A64" s="1" t="s">
        <v>81</v>
      </c>
      <c r="B64" s="1" t="s">
        <v>47</v>
      </c>
      <c r="C64" s="1" t="s">
        <v>66</v>
      </c>
      <c r="D64" s="1" t="n">
        <v>2012</v>
      </c>
      <c r="E64" s="1" t="s">
        <v>113</v>
      </c>
      <c r="F64" s="3" t="s">
        <v>94</v>
      </c>
      <c r="G64" s="1" t="n">
        <v>473</v>
      </c>
      <c r="H64" s="1" t="str">
        <f aca="false">IF((YEAR(F64)-D64)&lt;=11,"Avenirs",IF((YEAR(F64)-D64)&lt;=13,"Benjamins",IF((YEAR(F64)-D64)&lt;=18,"Juniors",IF((YEAR(F64)-D64)&lt;=25,"Seniors","Master C"&amp;ROUNDUP((YEAR(F64)-D64-25)/5,0)))))</f>
        <v>Benjamins</v>
      </c>
    </row>
    <row r="65" customFormat="false" ht="13.8" hidden="false" customHeight="false" outlineLevel="0" collapsed="false">
      <c r="A65" s="1" t="s">
        <v>81</v>
      </c>
      <c r="B65" s="1" t="s">
        <v>47</v>
      </c>
      <c r="C65" s="1" t="s">
        <v>56</v>
      </c>
      <c r="D65" s="1" t="n">
        <v>2011</v>
      </c>
      <c r="E65" s="1" t="s">
        <v>114</v>
      </c>
      <c r="F65" s="3" t="s">
        <v>94</v>
      </c>
      <c r="G65" s="1" t="n">
        <v>390</v>
      </c>
      <c r="H65" s="1" t="str">
        <f aca="false">IF((YEAR(F65)-D65)&lt;=11,"Avenirs",IF((YEAR(F65)-D65)&lt;=13,"Benjamins",IF((YEAR(F65)-D65)&lt;=18,"Juniors",IF((YEAR(F65)-D65)&lt;=25,"Seniors","Master C"&amp;ROUNDUP((YEAR(F65)-D65-25)/5,0)))))</f>
        <v>Juniors</v>
      </c>
    </row>
    <row r="66" customFormat="false" ht="13.8" hidden="false" customHeight="false" outlineLevel="0" collapsed="false">
      <c r="A66" s="1" t="s">
        <v>81</v>
      </c>
      <c r="B66" s="1" t="s">
        <v>47</v>
      </c>
      <c r="C66" s="1" t="s">
        <v>106</v>
      </c>
      <c r="D66" s="1" t="n">
        <v>2010</v>
      </c>
      <c r="E66" s="1" t="s">
        <v>115</v>
      </c>
      <c r="F66" s="3" t="s">
        <v>94</v>
      </c>
      <c r="G66" s="1" t="n">
        <v>357</v>
      </c>
      <c r="H66" s="1" t="str">
        <f aca="false">IF((YEAR(F66)-D66)&lt;=11,"Avenirs",IF((YEAR(F66)-D66)&lt;=13,"Benjamins",IF((YEAR(F66)-D66)&lt;=18,"Juniors",IF((YEAR(F66)-D66)&lt;=25,"Seniors","Master C"&amp;ROUNDUP((YEAR(F66)-D66-25)/5,0)))))</f>
        <v>Juniors</v>
      </c>
    </row>
    <row r="67" customFormat="false" ht="13.8" hidden="false" customHeight="false" outlineLevel="0" collapsed="false">
      <c r="A67" s="1" t="s">
        <v>81</v>
      </c>
      <c r="B67" s="1" t="s">
        <v>47</v>
      </c>
      <c r="C67" s="1" t="s">
        <v>68</v>
      </c>
      <c r="D67" s="1" t="n">
        <v>2013</v>
      </c>
      <c r="E67" s="1" t="s">
        <v>116</v>
      </c>
      <c r="F67" s="3" t="s">
        <v>94</v>
      </c>
      <c r="G67" s="1" t="n">
        <v>340</v>
      </c>
      <c r="H67" s="1" t="str">
        <f aca="false">IF((YEAR(F67)-D67)&lt;=11,"Avenirs",IF((YEAR(F67)-D67)&lt;=13,"Benjamins",IF((YEAR(F67)-D67)&lt;=18,"Juniors",IF((YEAR(F67)-D67)&lt;=25,"Seniors","Master C"&amp;ROUNDUP((YEAR(F67)-D67-25)/5,0)))))</f>
        <v>Benjamins</v>
      </c>
    </row>
    <row r="68" customFormat="false" ht="13.8" hidden="false" customHeight="false" outlineLevel="0" collapsed="false">
      <c r="A68" s="1" t="s">
        <v>81</v>
      </c>
      <c r="B68" s="1" t="s">
        <v>47</v>
      </c>
      <c r="C68" s="1" t="s">
        <v>108</v>
      </c>
      <c r="D68" s="1" t="n">
        <v>2013</v>
      </c>
      <c r="E68" s="1" t="s">
        <v>117</v>
      </c>
      <c r="F68" s="3" t="s">
        <v>94</v>
      </c>
      <c r="G68" s="1" t="n">
        <v>332</v>
      </c>
      <c r="H68" s="1" t="str">
        <f aca="false">IF((YEAR(F68)-D68)&lt;=11,"Avenirs",IF((YEAR(F68)-D68)&lt;=13,"Benjamins",IF((YEAR(F68)-D68)&lt;=18,"Juniors",IF((YEAR(F68)-D68)&lt;=25,"Seniors","Master C"&amp;ROUNDUP((YEAR(F68)-D68-25)/5,0)))))</f>
        <v>Benjamins</v>
      </c>
    </row>
    <row r="69" customFormat="false" ht="13.8" hidden="false" customHeight="false" outlineLevel="0" collapsed="false">
      <c r="A69" s="1" t="s">
        <v>81</v>
      </c>
      <c r="B69" s="1" t="s">
        <v>47</v>
      </c>
      <c r="C69" s="1" t="s">
        <v>58</v>
      </c>
      <c r="D69" s="1" t="n">
        <v>2012</v>
      </c>
      <c r="E69" s="1" t="s">
        <v>118</v>
      </c>
      <c r="F69" s="3" t="s">
        <v>94</v>
      </c>
      <c r="G69" s="1" t="n">
        <v>329</v>
      </c>
      <c r="H69" s="1" t="str">
        <f aca="false">IF((YEAR(F69)-D69)&lt;=11,"Avenirs",IF((YEAR(F69)-D69)&lt;=13,"Benjamins",IF((YEAR(F69)-D69)&lt;=18,"Juniors",IF((YEAR(F69)-D69)&lt;=25,"Seniors","Master C"&amp;ROUNDUP((YEAR(F69)-D69-25)/5,0)))))</f>
        <v>Benjamins</v>
      </c>
    </row>
    <row r="70" customFormat="false" ht="13.8" hidden="false" customHeight="false" outlineLevel="0" collapsed="false">
      <c r="A70" s="1" t="s">
        <v>81</v>
      </c>
      <c r="B70" s="1" t="s">
        <v>47</v>
      </c>
      <c r="C70" s="1" t="s">
        <v>98</v>
      </c>
      <c r="D70" s="1" t="n">
        <v>2014</v>
      </c>
      <c r="E70" s="1" t="s">
        <v>119</v>
      </c>
      <c r="F70" s="3" t="s">
        <v>94</v>
      </c>
      <c r="G70" s="1" t="n">
        <v>303</v>
      </c>
      <c r="H70" s="1" t="str">
        <f aca="false">IF((YEAR(F70)-D70)&lt;=11,"Avenirs",IF((YEAR(F70)-D70)&lt;=13,"Benjamins",IF((YEAR(F70)-D70)&lt;=18,"Juniors",IF((YEAR(F70)-D70)&lt;=25,"Seniors","Master C"&amp;ROUNDUP((YEAR(F70)-D70-25)/5,0)))))</f>
        <v>Avenirs</v>
      </c>
    </row>
    <row r="71" customFormat="false" ht="13.8" hidden="false" customHeight="false" outlineLevel="0" collapsed="false">
      <c r="A71" s="1" t="s">
        <v>81</v>
      </c>
      <c r="B71" s="1" t="s">
        <v>47</v>
      </c>
      <c r="C71" s="1" t="s">
        <v>62</v>
      </c>
      <c r="D71" s="1" t="n">
        <v>2012</v>
      </c>
      <c r="E71" s="1" t="s">
        <v>120</v>
      </c>
      <c r="F71" s="3" t="s">
        <v>94</v>
      </c>
      <c r="G71" s="1" t="n">
        <v>263</v>
      </c>
      <c r="H71" s="1" t="str">
        <f aca="false">IF((YEAR(F71)-D71)&lt;=11,"Avenirs",IF((YEAR(F71)-D71)&lt;=13,"Benjamins",IF((YEAR(F71)-D71)&lt;=18,"Juniors",IF((YEAR(F71)-D71)&lt;=25,"Seniors","Master C"&amp;ROUNDUP((YEAR(F71)-D71-25)/5,0)))))</f>
        <v>Benjamins</v>
      </c>
    </row>
    <row r="72" customFormat="false" ht="13.8" hidden="false" customHeight="false" outlineLevel="0" collapsed="false">
      <c r="A72" s="1" t="s">
        <v>81</v>
      </c>
      <c r="B72" s="1" t="s">
        <v>47</v>
      </c>
      <c r="C72" s="1" t="s">
        <v>121</v>
      </c>
      <c r="D72" s="1" t="n">
        <v>2012</v>
      </c>
      <c r="E72" s="1" t="s">
        <v>122</v>
      </c>
      <c r="F72" s="3" t="s">
        <v>94</v>
      </c>
      <c r="G72" s="1" t="n">
        <v>242</v>
      </c>
      <c r="H72" s="1" t="str">
        <f aca="false">IF((YEAR(F72)-D72)&lt;=11,"Avenirs",IF((YEAR(F72)-D72)&lt;=13,"Benjamins",IF((YEAR(F72)-D72)&lt;=18,"Juniors",IF((YEAR(F72)-D72)&lt;=25,"Seniors","Master C"&amp;ROUNDUP((YEAR(F72)-D72-25)/5,0)))))</f>
        <v>Benjamins</v>
      </c>
    </row>
    <row r="73" customFormat="false" ht="13.8" hidden="false" customHeight="false" outlineLevel="0" collapsed="false">
      <c r="A73" s="1" t="s">
        <v>81</v>
      </c>
      <c r="B73" s="1" t="s">
        <v>47</v>
      </c>
      <c r="C73" s="1" t="s">
        <v>103</v>
      </c>
      <c r="D73" s="1" t="n">
        <v>2014</v>
      </c>
      <c r="E73" s="1" t="s">
        <v>123</v>
      </c>
      <c r="F73" s="3" t="s">
        <v>94</v>
      </c>
      <c r="G73" s="1" t="n">
        <v>217</v>
      </c>
      <c r="H73" s="1" t="str">
        <f aca="false">IF((YEAR(F73)-D73)&lt;=11,"Avenirs",IF((YEAR(F73)-D73)&lt;=13,"Benjamins",IF((YEAR(F73)-D73)&lt;=18,"Juniors",IF((YEAR(F73)-D73)&lt;=25,"Seniors","Master C"&amp;ROUNDUP((YEAR(F73)-D73-25)/5,0)))))</f>
        <v>Avenirs</v>
      </c>
    </row>
    <row r="74" customFormat="false" ht="13.8" hidden="false" customHeight="false" outlineLevel="0" collapsed="false">
      <c r="A74" s="1" t="s">
        <v>81</v>
      </c>
      <c r="B74" s="1" t="s">
        <v>47</v>
      </c>
      <c r="C74" s="1" t="s">
        <v>70</v>
      </c>
      <c r="D74" s="1" t="n">
        <v>2014</v>
      </c>
      <c r="E74" s="1" t="s">
        <v>124</v>
      </c>
      <c r="F74" s="3" t="s">
        <v>94</v>
      </c>
      <c r="G74" s="1" t="n">
        <v>178</v>
      </c>
      <c r="H74" s="1" t="str">
        <f aca="false">IF((YEAR(F74)-D74)&lt;=11,"Avenirs",IF((YEAR(F74)-D74)&lt;=13,"Benjamins",IF((YEAR(F74)-D74)&lt;=18,"Juniors",IF((YEAR(F74)-D74)&lt;=25,"Seniors","Master C"&amp;ROUNDUP((YEAR(F74)-D74-25)/5,0)))))</f>
        <v>Avenirs</v>
      </c>
    </row>
    <row r="75" customFormat="false" ht="13.8" hidden="false" customHeight="false" outlineLevel="0" collapsed="false">
      <c r="A75" s="1" t="s">
        <v>35</v>
      </c>
      <c r="B75" s="1" t="s">
        <v>9</v>
      </c>
      <c r="C75" s="1" t="s">
        <v>125</v>
      </c>
      <c r="D75" s="1" t="n">
        <v>2008</v>
      </c>
      <c r="E75" s="1" t="s">
        <v>126</v>
      </c>
      <c r="F75" s="3" t="s">
        <v>94</v>
      </c>
      <c r="G75" s="1" t="n">
        <v>588</v>
      </c>
      <c r="H75" s="1" t="str">
        <f aca="false">IF((YEAR(F75)-D75)&lt;=11,"Avenirs",IF((YEAR(F75)-D75)&lt;=13,"Benjamins",IF((YEAR(F75)-D75)&lt;=18,"Juniors",IF((YEAR(F75)-D75)&lt;=25,"Seniors","Master C"&amp;ROUNDUP((YEAR(F75)-D75-25)/5,0)))))</f>
        <v>Juniors</v>
      </c>
    </row>
    <row r="76" customFormat="false" ht="13.8" hidden="false" customHeight="false" outlineLevel="0" collapsed="false">
      <c r="A76" s="1" t="s">
        <v>35</v>
      </c>
      <c r="B76" s="1" t="s">
        <v>9</v>
      </c>
      <c r="C76" s="1" t="s">
        <v>127</v>
      </c>
      <c r="D76" s="1" t="n">
        <v>2012</v>
      </c>
      <c r="E76" s="1" t="s">
        <v>128</v>
      </c>
      <c r="F76" s="3" t="s">
        <v>94</v>
      </c>
      <c r="G76" s="1" t="n">
        <v>297</v>
      </c>
      <c r="H76" s="1" t="str">
        <f aca="false">IF((YEAR(F76)-D76)&lt;=11,"Avenirs",IF((YEAR(F76)-D76)&lt;=13,"Benjamins",IF((YEAR(F76)-D76)&lt;=18,"Juniors",IF((YEAR(F76)-D76)&lt;=25,"Seniors","Master C"&amp;ROUNDUP((YEAR(F76)-D76-25)/5,0)))))</f>
        <v>Benjamins</v>
      </c>
    </row>
    <row r="77" customFormat="false" ht="13.8" hidden="false" customHeight="false" outlineLevel="0" collapsed="false">
      <c r="A77" s="1" t="s">
        <v>46</v>
      </c>
      <c r="B77" s="1" t="s">
        <v>47</v>
      </c>
      <c r="C77" s="1" t="s">
        <v>72</v>
      </c>
      <c r="D77" s="1" t="n">
        <v>2015</v>
      </c>
      <c r="E77" s="1" t="s">
        <v>129</v>
      </c>
      <c r="F77" s="3" t="s">
        <v>130</v>
      </c>
      <c r="G77" s="1" t="n">
        <v>93</v>
      </c>
      <c r="H77" s="1" t="str">
        <f aca="false">IF((YEAR(F77)-D77)&lt;=11,"Avenirs",IF((YEAR(F77)-D77)&lt;=13,"Benjamins",IF((YEAR(F77)-D77)&lt;=18,"Juniors",IF((YEAR(F77)-D77)&lt;=25,"Seniors","Master C"&amp;ROUNDUP((YEAR(F77)-D77-25)/5,0)))))</f>
        <v>Avenirs</v>
      </c>
    </row>
    <row r="78" customFormat="false" ht="13.8" hidden="false" customHeight="false" outlineLevel="0" collapsed="false">
      <c r="A78" s="1" t="s">
        <v>131</v>
      </c>
      <c r="B78" s="1" t="s">
        <v>47</v>
      </c>
      <c r="C78" s="1" t="s">
        <v>98</v>
      </c>
      <c r="D78" s="1" t="n">
        <v>2014</v>
      </c>
      <c r="E78" s="1" t="s">
        <v>132</v>
      </c>
      <c r="F78" s="3" t="s">
        <v>130</v>
      </c>
      <c r="G78" s="1" t="n">
        <v>172</v>
      </c>
      <c r="H78" s="1" t="str">
        <f aca="false">IF((YEAR(F78)-D78)&lt;=11,"Avenirs",IF((YEAR(F78)-D78)&lt;=13,"Benjamins",IF((YEAR(F78)-D78)&lt;=18,"Juniors",IF((YEAR(F78)-D78)&lt;=25,"Seniors","Master C"&amp;ROUNDUP((YEAR(F78)-D78-25)/5,0)))))</f>
        <v>Avenirs</v>
      </c>
    </row>
    <row r="79" customFormat="false" ht="13.8" hidden="false" customHeight="false" outlineLevel="0" collapsed="false">
      <c r="A79" s="1" t="s">
        <v>131</v>
      </c>
      <c r="B79" s="1" t="s">
        <v>47</v>
      </c>
      <c r="C79" s="1" t="s">
        <v>103</v>
      </c>
      <c r="D79" s="1" t="n">
        <v>2014</v>
      </c>
      <c r="E79" s="1" t="s">
        <v>133</v>
      </c>
      <c r="F79" s="3" t="s">
        <v>130</v>
      </c>
      <c r="G79" s="1" t="n">
        <v>169</v>
      </c>
      <c r="H79" s="1" t="str">
        <f aca="false">IF((YEAR(F79)-D79)&lt;=11,"Avenirs",IF((YEAR(F79)-D79)&lt;=13,"Benjamins",IF((YEAR(F79)-D79)&lt;=18,"Juniors",IF((YEAR(F79)-D79)&lt;=25,"Seniors","Master C"&amp;ROUNDUP((YEAR(F79)-D79-25)/5,0)))))</f>
        <v>Avenirs</v>
      </c>
    </row>
    <row r="80" customFormat="false" ht="13.8" hidden="false" customHeight="false" outlineLevel="0" collapsed="false">
      <c r="A80" s="1" t="s">
        <v>131</v>
      </c>
      <c r="B80" s="1" t="s">
        <v>47</v>
      </c>
      <c r="C80" s="1" t="s">
        <v>70</v>
      </c>
      <c r="D80" s="1" t="n">
        <v>2014</v>
      </c>
      <c r="E80" s="1" t="s">
        <v>134</v>
      </c>
      <c r="F80" s="3" t="s">
        <v>130</v>
      </c>
      <c r="G80" s="1" t="n">
        <v>86</v>
      </c>
      <c r="H80" s="1" t="str">
        <f aca="false">IF((YEAR(F80)-D80)&lt;=11,"Avenirs",IF((YEAR(F80)-D80)&lt;=13,"Benjamins",IF((YEAR(F80)-D80)&lt;=18,"Juniors",IF((YEAR(F80)-D80)&lt;=25,"Seniors","Master C"&amp;ROUNDUP((YEAR(F80)-D80-25)/5,0)))))</f>
        <v>Avenirs</v>
      </c>
    </row>
    <row r="81" customFormat="false" ht="13.8" hidden="false" customHeight="false" outlineLevel="0" collapsed="false">
      <c r="A81" s="1" t="s">
        <v>110</v>
      </c>
      <c r="B81" s="1" t="s">
        <v>47</v>
      </c>
      <c r="C81" s="1" t="s">
        <v>135</v>
      </c>
      <c r="D81" s="1" t="n">
        <v>2015</v>
      </c>
      <c r="E81" s="1" t="s">
        <v>136</v>
      </c>
      <c r="F81" s="3" t="s">
        <v>130</v>
      </c>
      <c r="G81" s="1" t="n">
        <v>68</v>
      </c>
      <c r="H81" s="1" t="str">
        <f aca="false">IF((YEAR(F81)-D81)&lt;=11,"Avenirs",IF((YEAR(F81)-D81)&lt;=13,"Benjamins",IF((YEAR(F81)-D81)&lt;=18,"Juniors",IF((YEAR(F81)-D81)&lt;=25,"Seniors","Master C"&amp;ROUNDUP((YEAR(F81)-D81-25)/5,0)))))</f>
        <v>Avenirs</v>
      </c>
    </row>
    <row r="82" customFormat="false" ht="13.8" hidden="false" customHeight="false" outlineLevel="0" collapsed="false">
      <c r="A82" s="1" t="s">
        <v>81</v>
      </c>
      <c r="B82" s="1" t="s">
        <v>47</v>
      </c>
      <c r="C82" s="1" t="s">
        <v>98</v>
      </c>
      <c r="D82" s="1" t="n">
        <v>2014</v>
      </c>
      <c r="E82" s="1" t="s">
        <v>137</v>
      </c>
      <c r="F82" s="3" t="s">
        <v>130</v>
      </c>
      <c r="G82" s="1" t="n">
        <v>314</v>
      </c>
      <c r="H82" s="1" t="str">
        <f aca="false">IF((YEAR(F82)-D82)&lt;=11,"Avenirs",IF((YEAR(F82)-D82)&lt;=13,"Benjamins",IF((YEAR(F82)-D82)&lt;=18,"Juniors",IF((YEAR(F82)-D82)&lt;=25,"Seniors","Master C"&amp;ROUNDUP((YEAR(F82)-D82-25)/5,0)))))</f>
        <v>Avenirs</v>
      </c>
    </row>
    <row r="83" customFormat="false" ht="13.8" hidden="false" customHeight="false" outlineLevel="0" collapsed="false">
      <c r="A83" s="1" t="s">
        <v>81</v>
      </c>
      <c r="B83" s="1" t="s">
        <v>47</v>
      </c>
      <c r="C83" s="1" t="s">
        <v>103</v>
      </c>
      <c r="D83" s="1" t="n">
        <v>2014</v>
      </c>
      <c r="E83" s="1" t="s">
        <v>138</v>
      </c>
      <c r="F83" s="3" t="s">
        <v>130</v>
      </c>
      <c r="G83" s="1" t="n">
        <v>272</v>
      </c>
      <c r="H83" s="1" t="str">
        <f aca="false">IF((YEAR(F83)-D83)&lt;=11,"Avenirs",IF((YEAR(F83)-D83)&lt;=13,"Benjamins",IF((YEAR(F83)-D83)&lt;=18,"Juniors",IF((YEAR(F83)-D83)&lt;=25,"Seniors","Master C"&amp;ROUNDUP((YEAR(F83)-D83-25)/5,0)))))</f>
        <v>Avenirs</v>
      </c>
    </row>
    <row r="84" customFormat="false" ht="13.8" hidden="false" customHeight="false" outlineLevel="0" collapsed="false">
      <c r="A84" s="1" t="s">
        <v>81</v>
      </c>
      <c r="B84" s="1" t="s">
        <v>47</v>
      </c>
      <c r="C84" s="1" t="s">
        <v>70</v>
      </c>
      <c r="D84" s="1" t="n">
        <v>2014</v>
      </c>
      <c r="E84" s="1" t="s">
        <v>139</v>
      </c>
      <c r="F84" s="3" t="s">
        <v>130</v>
      </c>
      <c r="G84" s="1" t="n">
        <v>234</v>
      </c>
      <c r="H84" s="1" t="str">
        <f aca="false">IF((YEAR(F84)-D84)&lt;=11,"Avenirs",IF((YEAR(F84)-D84)&lt;=13,"Benjamins",IF((YEAR(F84)-D84)&lt;=18,"Juniors",IF((YEAR(F84)-D84)&lt;=25,"Seniors","Master C"&amp;ROUNDUP((YEAR(F84)-D84-25)/5,0)))))</f>
        <v>Avenirs</v>
      </c>
    </row>
    <row r="85" customFormat="false" ht="13.8" hidden="false" customHeight="false" outlineLevel="0" collapsed="false">
      <c r="A85" s="1" t="s">
        <v>81</v>
      </c>
      <c r="B85" s="1" t="s">
        <v>47</v>
      </c>
      <c r="C85" s="1" t="s">
        <v>72</v>
      </c>
      <c r="D85" s="1" t="n">
        <v>2015</v>
      </c>
      <c r="E85" s="1" t="s">
        <v>140</v>
      </c>
      <c r="F85" s="3" t="s">
        <v>130</v>
      </c>
      <c r="G85" s="1" t="n">
        <v>176</v>
      </c>
      <c r="H85" s="1" t="str">
        <f aca="false">IF((YEAR(F85)-D85)&lt;=11,"Avenirs",IF((YEAR(F85)-D85)&lt;=13,"Benjamins",IF((YEAR(F85)-D85)&lt;=18,"Juniors",IF((YEAR(F85)-D85)&lt;=25,"Seniors","Master C"&amp;ROUNDUP((YEAR(F85)-D85-25)/5,0)))))</f>
        <v>Avenirs</v>
      </c>
    </row>
    <row r="86" customFormat="false" ht="13.8" hidden="false" customHeight="false" outlineLevel="0" collapsed="false">
      <c r="A86" s="1" t="s">
        <v>81</v>
      </c>
      <c r="B86" s="1" t="s">
        <v>47</v>
      </c>
      <c r="C86" s="1" t="s">
        <v>135</v>
      </c>
      <c r="D86" s="1" t="n">
        <v>2015</v>
      </c>
      <c r="E86" s="1" t="s">
        <v>141</v>
      </c>
      <c r="F86" s="3" t="s">
        <v>130</v>
      </c>
      <c r="G86" s="1" t="n">
        <v>10</v>
      </c>
      <c r="H86" s="1" t="str">
        <f aca="false">IF((YEAR(F86)-D86)&lt;=11,"Avenirs",IF((YEAR(F86)-D86)&lt;=13,"Benjamins",IF((YEAR(F86)-D86)&lt;=18,"Juniors",IF((YEAR(F86)-D86)&lt;=25,"Seniors","Master C"&amp;ROUNDUP((YEAR(F86)-D86-25)/5,0)))))</f>
        <v>Avenirs</v>
      </c>
    </row>
    <row r="87" customFormat="false" ht="13.8" hidden="false" customHeight="false" outlineLevel="0" collapsed="false">
      <c r="A87" s="1" t="s">
        <v>35</v>
      </c>
      <c r="B87" s="1" t="s">
        <v>9</v>
      </c>
      <c r="C87" s="1" t="s">
        <v>142</v>
      </c>
      <c r="D87" s="1" t="n">
        <v>2015</v>
      </c>
      <c r="E87" s="1" t="s">
        <v>143</v>
      </c>
      <c r="F87" s="3" t="s">
        <v>130</v>
      </c>
      <c r="G87" s="1" t="n">
        <v>71</v>
      </c>
      <c r="H87" s="1" t="str">
        <f aca="false">IF((YEAR(F87)-D87)&lt;=11,"Avenirs",IF((YEAR(F87)-D87)&lt;=13,"Benjamins",IF((YEAR(F87)-D87)&lt;=18,"Juniors",IF((YEAR(F87)-D87)&lt;=25,"Seniors","Master C"&amp;ROUNDUP((YEAR(F87)-D87-25)/5,0)))))</f>
        <v>Avenirs</v>
      </c>
    </row>
    <row r="88" customFormat="false" ht="13.8" hidden="false" customHeight="false" outlineLevel="0" collapsed="false">
      <c r="A88" s="1" t="s">
        <v>35</v>
      </c>
      <c r="B88" s="1" t="s">
        <v>9</v>
      </c>
      <c r="C88" s="1" t="s">
        <v>144</v>
      </c>
      <c r="D88" s="1" t="n">
        <v>2015</v>
      </c>
      <c r="E88" s="1" t="s">
        <v>145</v>
      </c>
      <c r="F88" s="3" t="s">
        <v>130</v>
      </c>
      <c r="G88" s="1" t="n">
        <v>26</v>
      </c>
      <c r="H88" s="1" t="str">
        <f aca="false">IF((YEAR(F88)-D88)&lt;=11,"Avenirs",IF((YEAR(F88)-D88)&lt;=13,"Benjamins",IF((YEAR(F88)-D88)&lt;=18,"Juniors",IF((YEAR(F88)-D88)&lt;=25,"Seniors","Master C"&amp;ROUNDUP((YEAR(F88)-D88-25)/5,0)))))</f>
        <v>Avenirs</v>
      </c>
    </row>
    <row r="89" customFormat="false" ht="13.8" hidden="false" customHeight="false" outlineLevel="0" collapsed="false">
      <c r="A89" s="1" t="s">
        <v>35</v>
      </c>
      <c r="B89" s="1" t="s">
        <v>9</v>
      </c>
      <c r="C89" s="1" t="s">
        <v>146</v>
      </c>
      <c r="D89" s="1" t="n">
        <v>2015</v>
      </c>
      <c r="E89" s="1" t="s">
        <v>147</v>
      </c>
      <c r="F89" s="3" t="s">
        <v>130</v>
      </c>
      <c r="G89" s="1" t="n">
        <v>1</v>
      </c>
      <c r="H89" s="1" t="str">
        <f aca="false">IF((YEAR(F89)-D89)&lt;=11,"Avenirs",IF((YEAR(F89)-D89)&lt;=13,"Benjamins",IF((YEAR(F89)-D89)&lt;=18,"Juniors",IF((YEAR(F89)-D89)&lt;=25,"Seniors","Master C"&amp;ROUNDUP((YEAR(F89)-D89-25)/5,0)))))</f>
        <v>Avenirs</v>
      </c>
    </row>
    <row r="90" customFormat="false" ht="13.8" hidden="false" customHeight="false" outlineLevel="0" collapsed="false">
      <c r="A90" s="1" t="s">
        <v>35</v>
      </c>
      <c r="B90" s="1" t="s">
        <v>9</v>
      </c>
      <c r="C90" s="1" t="s">
        <v>148</v>
      </c>
      <c r="D90" s="1" t="n">
        <v>2015</v>
      </c>
      <c r="E90" s="1" t="s">
        <v>149</v>
      </c>
      <c r="F90" s="3" t="s">
        <v>130</v>
      </c>
      <c r="G90" s="1" t="n">
        <v>1</v>
      </c>
      <c r="H90" s="1" t="str">
        <f aca="false">IF((YEAR(F90)-D90)&lt;=11,"Avenirs",IF((YEAR(F90)-D90)&lt;=13,"Benjamins",IF((YEAR(F90)-D90)&lt;=18,"Juniors",IF((YEAR(F90)-D90)&lt;=25,"Seniors","Master C"&amp;ROUNDUP((YEAR(F90)-D90-25)/5,0)))))</f>
        <v>Avenirs</v>
      </c>
    </row>
    <row r="91" customFormat="false" ht="13.8" hidden="false" customHeight="false" outlineLevel="0" collapsed="false">
      <c r="A91" s="1" t="s">
        <v>150</v>
      </c>
      <c r="B91" s="1" t="s">
        <v>9</v>
      </c>
      <c r="C91" s="1" t="s">
        <v>142</v>
      </c>
      <c r="D91" s="1" t="n">
        <v>2015</v>
      </c>
      <c r="E91" s="1" t="s">
        <v>151</v>
      </c>
      <c r="F91" s="3" t="s">
        <v>130</v>
      </c>
      <c r="G91" s="1" t="n">
        <v>146</v>
      </c>
      <c r="H91" s="1" t="str">
        <f aca="false">IF((YEAR(F91)-D91)&lt;=11,"Avenirs",IF((YEAR(F91)-D91)&lt;=13,"Benjamins",IF((YEAR(F91)-D91)&lt;=18,"Juniors",IF((YEAR(F91)-D91)&lt;=25,"Seniors","Master C"&amp;ROUNDUP((YEAR(F91)-D91-25)/5,0)))))</f>
        <v>Avenirs</v>
      </c>
    </row>
    <row r="92" customFormat="false" ht="13.8" hidden="false" customHeight="false" outlineLevel="0" collapsed="false">
      <c r="A92" s="1" t="s">
        <v>150</v>
      </c>
      <c r="B92" s="1" t="s">
        <v>9</v>
      </c>
      <c r="C92" s="1" t="s">
        <v>144</v>
      </c>
      <c r="D92" s="1" t="n">
        <v>2015</v>
      </c>
      <c r="E92" s="1" t="s">
        <v>152</v>
      </c>
      <c r="F92" s="3" t="s">
        <v>130</v>
      </c>
      <c r="G92" s="1" t="n">
        <v>78</v>
      </c>
      <c r="H92" s="1" t="str">
        <f aca="false">IF((YEAR(F92)-D92)&lt;=11,"Avenirs",IF((YEAR(F92)-D92)&lt;=13,"Benjamins",IF((YEAR(F92)-D92)&lt;=18,"Juniors",IF((YEAR(F92)-D92)&lt;=25,"Seniors","Master C"&amp;ROUNDUP((YEAR(F92)-D92-25)/5,0)))))</f>
        <v>Avenirs</v>
      </c>
    </row>
    <row r="93" customFormat="false" ht="13.8" hidden="false" customHeight="false" outlineLevel="0" collapsed="false">
      <c r="A93" s="1" t="s">
        <v>150</v>
      </c>
      <c r="B93" s="1" t="s">
        <v>9</v>
      </c>
      <c r="C93" s="1" t="s">
        <v>146</v>
      </c>
      <c r="D93" s="1" t="n">
        <v>2015</v>
      </c>
      <c r="E93" s="1" t="s">
        <v>153</v>
      </c>
      <c r="F93" s="3" t="s">
        <v>130</v>
      </c>
      <c r="G93" s="1" t="n">
        <v>1</v>
      </c>
      <c r="H93" s="1" t="str">
        <f aca="false">IF((YEAR(F93)-D93)&lt;=11,"Avenirs",IF((YEAR(F93)-D93)&lt;=13,"Benjamins",IF((YEAR(F93)-D93)&lt;=18,"Juniors",IF((YEAR(F93)-D93)&lt;=25,"Seniors","Master C"&amp;ROUNDUP((YEAR(F93)-D93-25)/5,0)))))</f>
        <v>Avenirs</v>
      </c>
    </row>
    <row r="94" customFormat="false" ht="13.8" hidden="false" customHeight="false" outlineLevel="0" collapsed="false">
      <c r="A94" s="1" t="s">
        <v>150</v>
      </c>
      <c r="B94" s="1" t="s">
        <v>9</v>
      </c>
      <c r="C94" s="1" t="s">
        <v>148</v>
      </c>
      <c r="D94" s="1" t="n">
        <v>2015</v>
      </c>
      <c r="E94" s="1" t="s">
        <v>154</v>
      </c>
      <c r="F94" s="3" t="s">
        <v>130</v>
      </c>
      <c r="G94" s="1" t="n">
        <v>1</v>
      </c>
      <c r="H94" s="1" t="str">
        <f aca="false">IF((YEAR(F94)-D94)&lt;=11,"Avenirs",IF((YEAR(F94)-D94)&lt;=13,"Benjamins",IF((YEAR(F94)-D94)&lt;=18,"Juniors",IF((YEAR(F94)-D94)&lt;=25,"Seniors","Master C"&amp;ROUNDUP((YEAR(F94)-D94-25)/5,0)))))</f>
        <v>Avenirs</v>
      </c>
    </row>
    <row r="95" customFormat="false" ht="13.8" hidden="false" customHeight="false" outlineLevel="0" collapsed="false">
      <c r="A95" s="1" t="s">
        <v>46</v>
      </c>
      <c r="B95" s="1" t="s">
        <v>47</v>
      </c>
      <c r="C95" s="1" t="s">
        <v>155</v>
      </c>
      <c r="D95" s="1" t="n">
        <v>2016</v>
      </c>
      <c r="E95" s="1" t="s">
        <v>156</v>
      </c>
      <c r="F95" s="3" t="s">
        <v>130</v>
      </c>
      <c r="G95" s="1" t="n">
        <v>1</v>
      </c>
      <c r="H95" s="1" t="str">
        <f aca="false">IF((YEAR(F95)-D95)&lt;=11,"Avenirs",IF((YEAR(F95)-D95)&lt;=13,"Benjamins",IF((YEAR(F95)-D95)&lt;=18,"Juniors",IF((YEAR(F95)-D95)&lt;=25,"Seniors","Master C"&amp;ROUNDUP((YEAR(F95)-D95-25)/5,0)))))</f>
        <v>Avenirs</v>
      </c>
    </row>
    <row r="96" customFormat="false" ht="13.8" hidden="false" customHeight="false" outlineLevel="0" collapsed="false">
      <c r="A96" s="1" t="s">
        <v>46</v>
      </c>
      <c r="B96" s="1" t="s">
        <v>47</v>
      </c>
      <c r="C96" s="1" t="s">
        <v>157</v>
      </c>
      <c r="D96" s="1" t="n">
        <v>2017</v>
      </c>
      <c r="E96" s="1" t="s">
        <v>158</v>
      </c>
      <c r="F96" s="3" t="s">
        <v>130</v>
      </c>
      <c r="G96" s="1" t="n">
        <v>1</v>
      </c>
      <c r="H96" s="1" t="str">
        <f aca="false">IF((YEAR(F96)-D96)&lt;=11,"Avenirs",IF((YEAR(F96)-D96)&lt;=13,"Benjamins",IF((YEAR(F96)-D96)&lt;=18,"Juniors",IF((YEAR(F96)-D96)&lt;=25,"Seniors","Master C"&amp;ROUNDUP((YEAR(F96)-D96-25)/5,0)))))</f>
        <v>Avenirs</v>
      </c>
    </row>
    <row r="97" customFormat="false" ht="13.8" hidden="false" customHeight="false" outlineLevel="0" collapsed="false">
      <c r="A97" s="1" t="s">
        <v>110</v>
      </c>
      <c r="B97" s="1" t="s">
        <v>47</v>
      </c>
      <c r="C97" s="1" t="s">
        <v>155</v>
      </c>
      <c r="D97" s="1" t="n">
        <v>2016</v>
      </c>
      <c r="E97" s="1" t="s">
        <v>159</v>
      </c>
      <c r="F97" s="3" t="s">
        <v>130</v>
      </c>
      <c r="G97" s="1" t="n">
        <v>71</v>
      </c>
      <c r="H97" s="1" t="str">
        <f aca="false">IF((YEAR(F97)-D97)&lt;=11,"Avenirs",IF((YEAR(F97)-D97)&lt;=13,"Benjamins",IF((YEAR(F97)-D97)&lt;=18,"Juniors",IF((YEAR(F97)-D97)&lt;=25,"Seniors","Master C"&amp;ROUNDUP((YEAR(F97)-D97-25)/5,0)))))</f>
        <v>Avenirs</v>
      </c>
    </row>
    <row r="98" customFormat="false" ht="13.8" hidden="false" customHeight="false" outlineLevel="0" collapsed="false">
      <c r="A98" s="1" t="s">
        <v>110</v>
      </c>
      <c r="B98" s="1" t="s">
        <v>47</v>
      </c>
      <c r="C98" s="1" t="s">
        <v>157</v>
      </c>
      <c r="D98" s="1" t="n">
        <v>2017</v>
      </c>
      <c r="E98" s="1" t="s">
        <v>160</v>
      </c>
      <c r="F98" s="3" t="s">
        <v>130</v>
      </c>
      <c r="G98" s="1" t="n">
        <v>7</v>
      </c>
      <c r="H98" s="1" t="str">
        <f aca="false">IF((YEAR(F98)-D98)&lt;=11,"Avenirs",IF((YEAR(F98)-D98)&lt;=13,"Benjamins",IF((YEAR(F98)-D98)&lt;=18,"Juniors",IF((YEAR(F98)-D98)&lt;=25,"Seniors","Master C"&amp;ROUNDUP((YEAR(F98)-D98-25)/5,0)))))</f>
        <v>Avenirs</v>
      </c>
    </row>
    <row r="99" customFormat="false" ht="13.8" hidden="false" customHeight="false" outlineLevel="0" collapsed="false">
      <c r="A99" s="1" t="s">
        <v>35</v>
      </c>
      <c r="B99" s="1" t="s">
        <v>9</v>
      </c>
      <c r="C99" s="1" t="s">
        <v>161</v>
      </c>
      <c r="D99" s="1" t="n">
        <v>2016</v>
      </c>
      <c r="E99" s="1" t="s">
        <v>162</v>
      </c>
      <c r="F99" s="3" t="s">
        <v>130</v>
      </c>
      <c r="G99" s="1" t="n">
        <v>1</v>
      </c>
      <c r="H99" s="1" t="str">
        <f aca="false">IF((YEAR(F99)-D99)&lt;=11,"Avenirs",IF((YEAR(F99)-D99)&lt;=13,"Benjamins",IF((YEAR(F99)-D99)&lt;=18,"Juniors",IF((YEAR(F99)-D99)&lt;=25,"Seniors","Master C"&amp;ROUNDUP((YEAR(F99)-D99-25)/5,0)))))</f>
        <v>Avenirs</v>
      </c>
    </row>
    <row r="100" customFormat="false" ht="13.8" hidden="false" customHeight="false" outlineLevel="0" collapsed="false">
      <c r="A100" s="1" t="s">
        <v>150</v>
      </c>
      <c r="B100" s="1" t="s">
        <v>9</v>
      </c>
      <c r="C100" s="1" t="s">
        <v>161</v>
      </c>
      <c r="D100" s="1" t="n">
        <v>2016</v>
      </c>
      <c r="E100" s="1" t="s">
        <v>163</v>
      </c>
      <c r="F100" s="3" t="s">
        <v>130</v>
      </c>
      <c r="G100" s="1" t="n">
        <v>11</v>
      </c>
      <c r="H100" s="1" t="str">
        <f aca="false">IF((YEAR(F100)-D100)&lt;=11,"Avenirs",IF((YEAR(F100)-D100)&lt;=13,"Benjamins",IF((YEAR(F100)-D100)&lt;=18,"Juniors",IF((YEAR(F100)-D100)&lt;=25,"Seniors","Master C"&amp;ROUNDUP((YEAR(F100)-D100-25)/5,0)))))</f>
        <v>Avenirs</v>
      </c>
    </row>
    <row r="101" customFormat="false" ht="13.8" hidden="false" customHeight="false" outlineLevel="0" collapsed="false">
      <c r="A101" s="1" t="s">
        <v>164</v>
      </c>
      <c r="B101" s="1" t="s">
        <v>47</v>
      </c>
      <c r="C101" s="1" t="s">
        <v>60</v>
      </c>
      <c r="D101" s="1" t="n">
        <v>2013</v>
      </c>
      <c r="E101" s="1" t="s">
        <v>165</v>
      </c>
      <c r="F101" s="3" t="s">
        <v>166</v>
      </c>
      <c r="G101" s="1" t="n">
        <v>472</v>
      </c>
      <c r="H101" s="1" t="str">
        <f aca="false">IF((YEAR(F101)-D101)&lt;=11,"Avenirs",IF((YEAR(F101)-D101)&lt;=13,"Benjamins",IF((YEAR(F101)-D101)&lt;=18,"Juniors",IF((YEAR(F101)-D101)&lt;=25,"Seniors","Master C"&amp;ROUNDUP((YEAR(F101)-D101-25)/5,0)))))</f>
        <v>Benjamins</v>
      </c>
    </row>
    <row r="102" customFormat="false" ht="13.8" hidden="false" customHeight="false" outlineLevel="0" collapsed="false">
      <c r="A102" s="1" t="s">
        <v>164</v>
      </c>
      <c r="B102" s="1" t="s">
        <v>47</v>
      </c>
      <c r="C102" s="1" t="s">
        <v>68</v>
      </c>
      <c r="D102" s="1" t="n">
        <v>2013</v>
      </c>
      <c r="E102" s="1" t="s">
        <v>167</v>
      </c>
      <c r="F102" s="3" t="s">
        <v>166</v>
      </c>
      <c r="G102" s="1" t="n">
        <v>391</v>
      </c>
      <c r="H102" s="1" t="str">
        <f aca="false">IF((YEAR(F102)-D102)&lt;=11,"Avenirs",IF((YEAR(F102)-D102)&lt;=13,"Benjamins",IF((YEAR(F102)-D102)&lt;=18,"Juniors",IF((YEAR(F102)-D102)&lt;=25,"Seniors","Master C"&amp;ROUNDUP((YEAR(F102)-D102-25)/5,0)))))</f>
        <v>Benjamins</v>
      </c>
    </row>
    <row r="103" customFormat="false" ht="13.8" hidden="false" customHeight="false" outlineLevel="0" collapsed="false">
      <c r="A103" s="1" t="s">
        <v>164</v>
      </c>
      <c r="B103" s="1" t="s">
        <v>47</v>
      </c>
      <c r="C103" s="1" t="s">
        <v>96</v>
      </c>
      <c r="D103" s="1" t="n">
        <v>2010</v>
      </c>
      <c r="E103" s="1" t="s">
        <v>168</v>
      </c>
      <c r="F103" s="3" t="s">
        <v>166</v>
      </c>
      <c r="G103" s="1" t="n">
        <v>244</v>
      </c>
      <c r="H103" s="1" t="str">
        <f aca="false">IF((YEAR(F103)-D103)&lt;=11,"Avenirs",IF((YEAR(F103)-D103)&lt;=13,"Benjamins",IF((YEAR(F103)-D103)&lt;=18,"Juniors",IF((YEAR(F103)-D103)&lt;=25,"Seniors","Master C"&amp;ROUNDUP((YEAR(F103)-D103-25)/5,0)))))</f>
        <v>Juniors</v>
      </c>
    </row>
    <row r="104" customFormat="false" ht="13.8" hidden="false" customHeight="false" outlineLevel="0" collapsed="false">
      <c r="A104" s="1" t="s">
        <v>164</v>
      </c>
      <c r="B104" s="1" t="s">
        <v>47</v>
      </c>
      <c r="C104" s="1" t="s">
        <v>70</v>
      </c>
      <c r="D104" s="1" t="n">
        <v>2014</v>
      </c>
      <c r="E104" s="1" t="s">
        <v>169</v>
      </c>
      <c r="F104" s="3" t="s">
        <v>166</v>
      </c>
      <c r="G104" s="1" t="n">
        <v>84</v>
      </c>
      <c r="H104" s="1" t="str">
        <f aca="false">IF((YEAR(F104)-D104)&lt;=11,"Avenirs",IF((YEAR(F104)-D104)&lt;=13,"Benjamins",IF((YEAR(F104)-D104)&lt;=18,"Juniors",IF((YEAR(F104)-D104)&lt;=25,"Seniors","Master C"&amp;ROUNDUP((YEAR(F104)-D104-25)/5,0)))))</f>
        <v>Benjamins</v>
      </c>
    </row>
    <row r="105" customFormat="false" ht="13.8" hidden="false" customHeight="false" outlineLevel="0" collapsed="false">
      <c r="A105" s="1" t="s">
        <v>170</v>
      </c>
      <c r="B105" s="1" t="s">
        <v>47</v>
      </c>
      <c r="C105" s="1" t="s">
        <v>66</v>
      </c>
      <c r="D105" s="1" t="n">
        <v>2012</v>
      </c>
      <c r="E105" s="1" t="s">
        <v>171</v>
      </c>
      <c r="F105" s="3" t="s">
        <v>166</v>
      </c>
      <c r="G105" s="1" t="n">
        <v>321</v>
      </c>
      <c r="H105" s="1" t="str">
        <f aca="false">IF((YEAR(F105)-D105)&lt;=11,"Avenirs",IF((YEAR(F105)-D105)&lt;=13,"Benjamins",IF((YEAR(F105)-D105)&lt;=18,"Juniors",IF((YEAR(F105)-D105)&lt;=25,"Seniors","Master C"&amp;ROUNDUP((YEAR(F105)-D105-25)/5,0)))))</f>
        <v>Juniors</v>
      </c>
    </row>
    <row r="106" customFormat="false" ht="13.8" hidden="false" customHeight="false" outlineLevel="0" collapsed="false">
      <c r="A106" s="1" t="s">
        <v>172</v>
      </c>
      <c r="B106" s="1" t="s">
        <v>47</v>
      </c>
      <c r="C106" s="1" t="s">
        <v>173</v>
      </c>
      <c r="D106" s="1" t="n">
        <v>2012</v>
      </c>
      <c r="E106" s="1" t="s">
        <v>174</v>
      </c>
      <c r="F106" s="3" t="s">
        <v>166</v>
      </c>
      <c r="G106" s="1" t="n">
        <v>499</v>
      </c>
      <c r="H106" s="1" t="str">
        <f aca="false">IF((YEAR(F106)-D106)&lt;=11,"Avenirs",IF((YEAR(F106)-D106)&lt;=13,"Benjamins",IF((YEAR(F106)-D106)&lt;=18,"Juniors",IF((YEAR(F106)-D106)&lt;=25,"Seniors","Master C"&amp;ROUNDUP((YEAR(F106)-D106-25)/5,0)))))</f>
        <v>Juniors</v>
      </c>
    </row>
    <row r="107" customFormat="false" ht="13.8" hidden="false" customHeight="false" outlineLevel="0" collapsed="false">
      <c r="A107" s="1" t="s">
        <v>172</v>
      </c>
      <c r="B107" s="1" t="s">
        <v>47</v>
      </c>
      <c r="C107" s="1" t="s">
        <v>66</v>
      </c>
      <c r="D107" s="1" t="n">
        <v>2012</v>
      </c>
      <c r="E107" s="1" t="s">
        <v>175</v>
      </c>
      <c r="F107" s="3" t="s">
        <v>166</v>
      </c>
      <c r="G107" s="1" t="n">
        <v>486</v>
      </c>
      <c r="H107" s="1" t="str">
        <f aca="false">IF((YEAR(F107)-D107)&lt;=11,"Avenirs",IF((YEAR(F107)-D107)&lt;=13,"Benjamins",IF((YEAR(F107)-D107)&lt;=18,"Juniors",IF((YEAR(F107)-D107)&lt;=25,"Seniors","Master C"&amp;ROUNDUP((YEAR(F107)-D107-25)/5,0)))))</f>
        <v>Juniors</v>
      </c>
    </row>
    <row r="108" customFormat="false" ht="13.8" hidden="false" customHeight="false" outlineLevel="0" collapsed="false">
      <c r="A108" s="1" t="s">
        <v>172</v>
      </c>
      <c r="B108" s="1" t="s">
        <v>47</v>
      </c>
      <c r="C108" s="1" t="s">
        <v>70</v>
      </c>
      <c r="D108" s="1" t="n">
        <v>2014</v>
      </c>
      <c r="E108" s="1" t="s">
        <v>176</v>
      </c>
      <c r="F108" s="3" t="s">
        <v>166</v>
      </c>
      <c r="G108" s="1" t="n">
        <v>264</v>
      </c>
      <c r="H108" s="1" t="str">
        <f aca="false">IF((YEAR(F108)-D108)&lt;=11,"Avenirs",IF((YEAR(F108)-D108)&lt;=13,"Benjamins",IF((YEAR(F108)-D108)&lt;=18,"Juniors",IF((YEAR(F108)-D108)&lt;=25,"Seniors","Master C"&amp;ROUNDUP((YEAR(F108)-D108-25)/5,0)))))</f>
        <v>Benjamins</v>
      </c>
    </row>
    <row r="109" customFormat="false" ht="13.8" hidden="false" customHeight="false" outlineLevel="0" collapsed="false">
      <c r="A109" s="1" t="s">
        <v>74</v>
      </c>
      <c r="B109" s="1" t="s">
        <v>47</v>
      </c>
      <c r="C109" s="1" t="s">
        <v>60</v>
      </c>
      <c r="D109" s="1" t="n">
        <v>2013</v>
      </c>
      <c r="E109" s="1" t="s">
        <v>177</v>
      </c>
      <c r="F109" s="3" t="s">
        <v>166</v>
      </c>
      <c r="G109" s="1" t="n">
        <v>134</v>
      </c>
      <c r="H109" s="1" t="str">
        <f aca="false">IF((YEAR(F109)-D109)&lt;=11,"Avenirs",IF((YEAR(F109)-D109)&lt;=13,"Benjamins",IF((YEAR(F109)-D109)&lt;=18,"Juniors",IF((YEAR(F109)-D109)&lt;=25,"Seniors","Master C"&amp;ROUNDUP((YEAR(F109)-D109-25)/5,0)))))</f>
        <v>Benjamins</v>
      </c>
    </row>
    <row r="110" customFormat="false" ht="13.8" hidden="false" customHeight="false" outlineLevel="0" collapsed="false">
      <c r="A110" s="1" t="s">
        <v>74</v>
      </c>
      <c r="B110" s="1" t="s">
        <v>47</v>
      </c>
      <c r="C110" s="1" t="s">
        <v>96</v>
      </c>
      <c r="D110" s="1" t="n">
        <v>2010</v>
      </c>
      <c r="E110" s="1" t="s">
        <v>178</v>
      </c>
      <c r="F110" s="3" t="s">
        <v>166</v>
      </c>
      <c r="G110" s="1" t="n">
        <v>60</v>
      </c>
      <c r="H110" s="1" t="str">
        <f aca="false">IF((YEAR(F110)-D110)&lt;=11,"Avenirs",IF((YEAR(F110)-D110)&lt;=13,"Benjamins",IF((YEAR(F110)-D110)&lt;=18,"Juniors",IF((YEAR(F110)-D110)&lt;=25,"Seniors","Master C"&amp;ROUNDUP((YEAR(F110)-D110-25)/5,0)))))</f>
        <v>Juniors</v>
      </c>
    </row>
    <row r="111" customFormat="false" ht="13.8" hidden="false" customHeight="false" outlineLevel="0" collapsed="false">
      <c r="A111" s="1" t="s">
        <v>179</v>
      </c>
      <c r="B111" s="1" t="s">
        <v>9</v>
      </c>
      <c r="C111" s="1" t="s">
        <v>125</v>
      </c>
      <c r="D111" s="1" t="n">
        <v>2008</v>
      </c>
      <c r="E111" s="1" t="s">
        <v>180</v>
      </c>
      <c r="F111" s="3" t="s">
        <v>166</v>
      </c>
      <c r="G111" s="1" t="n">
        <v>460</v>
      </c>
      <c r="H111" s="1" t="str">
        <f aca="false">IF((YEAR(F111)-D111)&lt;=11,"Avenirs",IF((YEAR(F111)-D111)&lt;=13,"Benjamins",IF((YEAR(F111)-D111)&lt;=18,"Juniors",IF((YEAR(F111)-D111)&lt;=25,"Seniors","Master C"&amp;ROUNDUP((YEAR(F111)-D111-25)/5,0)))))</f>
        <v>Juniors</v>
      </c>
    </row>
    <row r="112" customFormat="false" ht="13.8" hidden="false" customHeight="false" outlineLevel="0" collapsed="false">
      <c r="A112" s="1" t="s">
        <v>179</v>
      </c>
      <c r="B112" s="1" t="s">
        <v>9</v>
      </c>
      <c r="C112" s="1" t="s">
        <v>127</v>
      </c>
      <c r="D112" s="1" t="n">
        <v>2012</v>
      </c>
      <c r="E112" s="1" t="s">
        <v>181</v>
      </c>
      <c r="F112" s="3" t="s">
        <v>166</v>
      </c>
      <c r="G112" s="1" t="n">
        <v>235</v>
      </c>
      <c r="H112" s="1" t="str">
        <f aca="false">IF((YEAR(F112)-D112)&lt;=11,"Avenirs",IF((YEAR(F112)-D112)&lt;=13,"Benjamins",IF((YEAR(F112)-D112)&lt;=18,"Juniors",IF((YEAR(F112)-D112)&lt;=25,"Seniors","Master C"&amp;ROUNDUP((YEAR(F112)-D112-25)/5,0)))))</f>
        <v>Juniors</v>
      </c>
    </row>
    <row r="113" customFormat="false" ht="13.8" hidden="false" customHeight="false" outlineLevel="0" collapsed="false">
      <c r="A113" s="1" t="s">
        <v>182</v>
      </c>
      <c r="B113" s="1" t="s">
        <v>9</v>
      </c>
      <c r="C113" s="1" t="s">
        <v>125</v>
      </c>
      <c r="D113" s="1" t="n">
        <v>2008</v>
      </c>
      <c r="E113" s="1" t="s">
        <v>183</v>
      </c>
      <c r="F113" s="3" t="s">
        <v>166</v>
      </c>
      <c r="G113" s="1" t="n">
        <v>460</v>
      </c>
      <c r="H113" s="1" t="str">
        <f aca="false">IF((YEAR(F113)-D113)&lt;=11,"Avenirs",IF((YEAR(F113)-D113)&lt;=13,"Benjamins",IF((YEAR(F113)-D113)&lt;=18,"Juniors",IF((YEAR(F113)-D113)&lt;=25,"Seniors","Master C"&amp;ROUNDUP((YEAR(F113)-D113-25)/5,0)))))</f>
        <v>Juniors</v>
      </c>
    </row>
    <row r="114" customFormat="false" ht="13.8" hidden="false" customHeight="false" outlineLevel="0" collapsed="false">
      <c r="A114" s="1" t="s">
        <v>46</v>
      </c>
      <c r="B114" s="1" t="s">
        <v>47</v>
      </c>
      <c r="C114" s="1" t="s">
        <v>155</v>
      </c>
      <c r="D114" s="1" t="n">
        <v>2016</v>
      </c>
      <c r="E114" s="1" t="s">
        <v>184</v>
      </c>
      <c r="F114" s="3" t="s">
        <v>185</v>
      </c>
      <c r="G114" s="1" t="n">
        <v>169</v>
      </c>
      <c r="H114" s="1" t="str">
        <f aca="false">IF((YEAR(F114)-D114)&lt;=11,"Avenirs",IF((YEAR(F114)-D114)&lt;=13,"Benjamins",IF((YEAR(F114)-D114)&lt;=18,"Juniors",IF((YEAR(F114)-D114)&lt;=25,"Seniors","Master C"&amp;ROUNDUP((YEAR(F114)-D114-25)/5,0)))))</f>
        <v>Avenirs</v>
      </c>
    </row>
    <row r="115" customFormat="false" ht="13.8" hidden="false" customHeight="false" outlineLevel="0" collapsed="false">
      <c r="A115" s="1" t="s">
        <v>46</v>
      </c>
      <c r="B115" s="1" t="s">
        <v>47</v>
      </c>
      <c r="C115" s="1" t="s">
        <v>135</v>
      </c>
      <c r="D115" s="1" t="n">
        <v>2015</v>
      </c>
      <c r="E115" s="1" t="s">
        <v>186</v>
      </c>
      <c r="F115" s="3" t="s">
        <v>185</v>
      </c>
      <c r="G115" s="1" t="n">
        <v>3</v>
      </c>
      <c r="H115" s="1" t="str">
        <f aca="false">IF((YEAR(F115)-D115)&lt;=11,"Avenirs",IF((YEAR(F115)-D115)&lt;=13,"Benjamins",IF((YEAR(F115)-D115)&lt;=18,"Juniors",IF((YEAR(F115)-D115)&lt;=25,"Seniors","Master C"&amp;ROUNDUP((YEAR(F115)-D115-25)/5,0)))))</f>
        <v>Avenirs</v>
      </c>
    </row>
    <row r="116" customFormat="false" ht="13.8" hidden="false" customHeight="false" outlineLevel="0" collapsed="false">
      <c r="A116" s="1" t="s">
        <v>131</v>
      </c>
      <c r="B116" s="1" t="s">
        <v>47</v>
      </c>
      <c r="C116" s="1" t="s">
        <v>72</v>
      </c>
      <c r="D116" s="1" t="n">
        <v>2015</v>
      </c>
      <c r="E116" s="1" t="s">
        <v>187</v>
      </c>
      <c r="F116" s="3" t="s">
        <v>185</v>
      </c>
      <c r="G116" s="1" t="n">
        <v>141</v>
      </c>
      <c r="H116" s="1" t="str">
        <f aca="false">IF((YEAR(F116)-D116)&lt;=11,"Avenirs",IF((YEAR(F116)-D116)&lt;=13,"Benjamins",IF((YEAR(F116)-D116)&lt;=18,"Juniors",IF((YEAR(F116)-D116)&lt;=25,"Seniors","Master C"&amp;ROUNDUP((YEAR(F116)-D116-25)/5,0)))))</f>
        <v>Avenirs</v>
      </c>
    </row>
    <row r="117" customFormat="false" ht="13.8" hidden="false" customHeight="false" outlineLevel="0" collapsed="false">
      <c r="A117" s="1" t="s">
        <v>110</v>
      </c>
      <c r="B117" s="1" t="s">
        <v>47</v>
      </c>
      <c r="C117" s="1" t="s">
        <v>155</v>
      </c>
      <c r="D117" s="1" t="n">
        <v>2016</v>
      </c>
      <c r="E117" s="1" t="s">
        <v>188</v>
      </c>
      <c r="F117" s="3" t="s">
        <v>185</v>
      </c>
      <c r="G117" s="1" t="n">
        <v>123</v>
      </c>
      <c r="H117" s="1" t="str">
        <f aca="false">IF((YEAR(F117)-D117)&lt;=11,"Avenirs",IF((YEAR(F117)-D117)&lt;=13,"Benjamins",IF((YEAR(F117)-D117)&lt;=18,"Juniors",IF((YEAR(F117)-D117)&lt;=25,"Seniors","Master C"&amp;ROUNDUP((YEAR(F117)-D117-25)/5,0)))))</f>
        <v>Avenirs</v>
      </c>
    </row>
    <row r="118" customFormat="false" ht="13.8" hidden="false" customHeight="false" outlineLevel="0" collapsed="false">
      <c r="A118" s="1" t="s">
        <v>110</v>
      </c>
      <c r="B118" s="1" t="s">
        <v>47</v>
      </c>
      <c r="C118" s="1" t="s">
        <v>135</v>
      </c>
      <c r="D118" s="1" t="n">
        <v>2015</v>
      </c>
      <c r="E118" s="1" t="s">
        <v>189</v>
      </c>
      <c r="F118" s="3" t="s">
        <v>185</v>
      </c>
      <c r="G118" s="1" t="n">
        <v>93</v>
      </c>
      <c r="H118" s="1" t="str">
        <f aca="false">IF((YEAR(F118)-D118)&lt;=11,"Avenirs",IF((YEAR(F118)-D118)&lt;=13,"Benjamins",IF((YEAR(F118)-D118)&lt;=18,"Juniors",IF((YEAR(F118)-D118)&lt;=25,"Seniors","Master C"&amp;ROUNDUP((YEAR(F118)-D118-25)/5,0)))))</f>
        <v>Avenirs</v>
      </c>
    </row>
    <row r="119" customFormat="false" ht="13.8" hidden="false" customHeight="false" outlineLevel="0" collapsed="false">
      <c r="A119" s="1" t="s">
        <v>190</v>
      </c>
      <c r="B119" s="1" t="s">
        <v>47</v>
      </c>
      <c r="C119" s="1" t="s">
        <v>72</v>
      </c>
      <c r="D119" s="1" t="n">
        <v>2015</v>
      </c>
      <c r="E119" s="1" t="s">
        <v>191</v>
      </c>
      <c r="F119" s="3" t="s">
        <v>185</v>
      </c>
      <c r="G119" s="1" t="n">
        <v>299</v>
      </c>
      <c r="H119" s="1" t="str">
        <f aca="false">IF((YEAR(F119)-D119)&lt;=11,"Avenirs",IF((YEAR(F119)-D119)&lt;=13,"Benjamins",IF((YEAR(F119)-D119)&lt;=18,"Juniors",IF((YEAR(F119)-D119)&lt;=25,"Seniors","Master C"&amp;ROUNDUP((YEAR(F119)-D119-25)/5,0)))))</f>
        <v>Avenirs</v>
      </c>
    </row>
    <row r="120" customFormat="false" ht="13.8" hidden="false" customHeight="false" outlineLevel="0" collapsed="false">
      <c r="A120" s="1" t="s">
        <v>35</v>
      </c>
      <c r="B120" s="1" t="s">
        <v>9</v>
      </c>
      <c r="C120" s="1" t="s">
        <v>142</v>
      </c>
      <c r="D120" s="1" t="n">
        <v>2015</v>
      </c>
      <c r="E120" s="1" t="s">
        <v>102</v>
      </c>
      <c r="F120" s="3" t="s">
        <v>185</v>
      </c>
      <c r="G120" s="1" t="n">
        <v>246</v>
      </c>
      <c r="H120" s="1" t="str">
        <f aca="false">IF((YEAR(F120)-D120)&lt;=11,"Avenirs",IF((YEAR(F120)-D120)&lt;=13,"Benjamins",IF((YEAR(F120)-D120)&lt;=18,"Juniors",IF((YEAR(F120)-D120)&lt;=25,"Seniors","Master C"&amp;ROUNDUP((YEAR(F120)-D120-25)/5,0)))))</f>
        <v>Avenirs</v>
      </c>
    </row>
    <row r="121" customFormat="false" ht="13.8" hidden="false" customHeight="false" outlineLevel="0" collapsed="false">
      <c r="A121" s="1" t="s">
        <v>35</v>
      </c>
      <c r="B121" s="1" t="s">
        <v>9</v>
      </c>
      <c r="C121" s="1" t="s">
        <v>144</v>
      </c>
      <c r="D121" s="1" t="n">
        <v>2015</v>
      </c>
      <c r="E121" s="1" t="s">
        <v>192</v>
      </c>
      <c r="F121" s="3" t="s">
        <v>185</v>
      </c>
      <c r="G121" s="1" t="n">
        <v>121</v>
      </c>
      <c r="H121" s="1" t="str">
        <f aca="false">IF((YEAR(F121)-D121)&lt;=11,"Avenirs",IF((YEAR(F121)-D121)&lt;=13,"Benjamins",IF((YEAR(F121)-D121)&lt;=18,"Juniors",IF((YEAR(F121)-D121)&lt;=25,"Seniors","Master C"&amp;ROUNDUP((YEAR(F121)-D121-25)/5,0)))))</f>
        <v>Avenirs</v>
      </c>
    </row>
    <row r="122" customFormat="false" ht="13.8" hidden="false" customHeight="false" outlineLevel="0" collapsed="false">
      <c r="A122" s="1" t="s">
        <v>35</v>
      </c>
      <c r="B122" s="1" t="s">
        <v>9</v>
      </c>
      <c r="C122" s="1" t="s">
        <v>161</v>
      </c>
      <c r="D122" s="1" t="n">
        <v>2016</v>
      </c>
      <c r="E122" s="1" t="s">
        <v>193</v>
      </c>
      <c r="F122" s="3" t="s">
        <v>185</v>
      </c>
      <c r="G122" s="1" t="n">
        <v>52</v>
      </c>
      <c r="H122" s="1" t="str">
        <f aca="false">IF((YEAR(F122)-D122)&lt;=11,"Avenirs",IF((YEAR(F122)-D122)&lt;=13,"Benjamins",IF((YEAR(F122)-D122)&lt;=18,"Juniors",IF((YEAR(F122)-D122)&lt;=25,"Seniors","Master C"&amp;ROUNDUP((YEAR(F122)-D122-25)/5,0)))))</f>
        <v>Avenirs</v>
      </c>
    </row>
    <row r="123" customFormat="false" ht="13.8" hidden="false" customHeight="false" outlineLevel="0" collapsed="false">
      <c r="A123" s="1" t="s">
        <v>35</v>
      </c>
      <c r="B123" s="1" t="s">
        <v>9</v>
      </c>
      <c r="C123" s="1" t="s">
        <v>146</v>
      </c>
      <c r="D123" s="1" t="n">
        <v>2015</v>
      </c>
      <c r="E123" s="1" t="s">
        <v>194</v>
      </c>
      <c r="F123" s="3" t="s">
        <v>185</v>
      </c>
      <c r="G123" s="1" t="n">
        <v>39</v>
      </c>
      <c r="H123" s="1" t="str">
        <f aca="false">IF((YEAR(F123)-D123)&lt;=11,"Avenirs",IF((YEAR(F123)-D123)&lt;=13,"Benjamins",IF((YEAR(F123)-D123)&lt;=18,"Juniors",IF((YEAR(F123)-D123)&lt;=25,"Seniors","Master C"&amp;ROUNDUP((YEAR(F123)-D123-25)/5,0)))))</f>
        <v>Avenirs</v>
      </c>
    </row>
    <row r="124" customFormat="false" ht="13.8" hidden="false" customHeight="false" outlineLevel="0" collapsed="false">
      <c r="A124" s="1" t="s">
        <v>35</v>
      </c>
      <c r="B124" s="1" t="s">
        <v>9</v>
      </c>
      <c r="C124" s="1" t="s">
        <v>148</v>
      </c>
      <c r="D124" s="1" t="n">
        <v>2015</v>
      </c>
      <c r="E124" s="1" t="s">
        <v>195</v>
      </c>
      <c r="F124" s="3" t="s">
        <v>185</v>
      </c>
      <c r="G124" s="1" t="n">
        <v>1</v>
      </c>
      <c r="H124" s="1" t="str">
        <f aca="false">IF((YEAR(F124)-D124)&lt;=11,"Avenirs",IF((YEAR(F124)-D124)&lt;=13,"Benjamins",IF((YEAR(F124)-D124)&lt;=18,"Juniors",IF((YEAR(F124)-D124)&lt;=25,"Seniors","Master C"&amp;ROUNDUP((YEAR(F124)-D124-25)/5,0)))))</f>
        <v>Avenirs</v>
      </c>
    </row>
    <row r="125" customFormat="false" ht="13.8" hidden="false" customHeight="false" outlineLevel="0" collapsed="false">
      <c r="A125" s="1" t="s">
        <v>150</v>
      </c>
      <c r="B125" s="1" t="s">
        <v>9</v>
      </c>
      <c r="C125" s="1" t="s">
        <v>144</v>
      </c>
      <c r="D125" s="1" t="n">
        <v>2015</v>
      </c>
      <c r="E125" s="1" t="s">
        <v>196</v>
      </c>
      <c r="F125" s="3" t="s">
        <v>185</v>
      </c>
      <c r="G125" s="1" t="n">
        <v>184</v>
      </c>
      <c r="H125" s="1" t="str">
        <f aca="false">IF((YEAR(F125)-D125)&lt;=11,"Avenirs",IF((YEAR(F125)-D125)&lt;=13,"Benjamins",IF((YEAR(F125)-D125)&lt;=18,"Juniors",IF((YEAR(F125)-D125)&lt;=25,"Seniors","Master C"&amp;ROUNDUP((YEAR(F125)-D125-25)/5,0)))))</f>
        <v>Avenirs</v>
      </c>
    </row>
    <row r="126" customFormat="false" ht="13.8" hidden="false" customHeight="false" outlineLevel="0" collapsed="false">
      <c r="A126" s="1" t="s">
        <v>150</v>
      </c>
      <c r="B126" s="1" t="s">
        <v>9</v>
      </c>
      <c r="C126" s="1" t="s">
        <v>142</v>
      </c>
      <c r="D126" s="1" t="n">
        <v>2015</v>
      </c>
      <c r="E126" s="1" t="s">
        <v>197</v>
      </c>
      <c r="F126" s="3" t="s">
        <v>185</v>
      </c>
      <c r="G126" s="1" t="n">
        <v>63</v>
      </c>
      <c r="H126" s="1" t="str">
        <f aca="false">IF((YEAR(F126)-D126)&lt;=11,"Avenirs",IF((YEAR(F126)-D126)&lt;=13,"Benjamins",IF((YEAR(F126)-D126)&lt;=18,"Juniors",IF((YEAR(F126)-D126)&lt;=25,"Seniors","Master C"&amp;ROUNDUP((YEAR(F126)-D126-25)/5,0)))))</f>
        <v>Avenirs</v>
      </c>
    </row>
    <row r="127" customFormat="false" ht="13.8" hidden="false" customHeight="false" outlineLevel="0" collapsed="false">
      <c r="A127" s="1" t="s">
        <v>150</v>
      </c>
      <c r="B127" s="1" t="s">
        <v>9</v>
      </c>
      <c r="C127" s="1" t="s">
        <v>161</v>
      </c>
      <c r="D127" s="1" t="n">
        <v>2016</v>
      </c>
      <c r="E127" s="1" t="s">
        <v>198</v>
      </c>
      <c r="F127" s="3" t="s">
        <v>185</v>
      </c>
      <c r="G127" s="1" t="n">
        <v>54</v>
      </c>
      <c r="H127" s="1" t="str">
        <f aca="false">IF((YEAR(F127)-D127)&lt;=11,"Avenirs",IF((YEAR(F127)-D127)&lt;=13,"Benjamins",IF((YEAR(F127)-D127)&lt;=18,"Juniors",IF((YEAR(F127)-D127)&lt;=25,"Seniors","Master C"&amp;ROUNDUP((YEAR(F127)-D127-25)/5,0)))))</f>
        <v>Avenirs</v>
      </c>
    </row>
    <row r="128" customFormat="false" ht="13.8" hidden="false" customHeight="false" outlineLevel="0" collapsed="false">
      <c r="A128" s="1" t="s">
        <v>150</v>
      </c>
      <c r="B128" s="1" t="s">
        <v>9</v>
      </c>
      <c r="C128" s="1" t="s">
        <v>148</v>
      </c>
      <c r="D128" s="1" t="n">
        <v>2015</v>
      </c>
      <c r="E128" s="1" t="s">
        <v>199</v>
      </c>
      <c r="F128" s="3" t="s">
        <v>185</v>
      </c>
      <c r="G128" s="1" t="n">
        <v>16</v>
      </c>
      <c r="H128" s="1" t="str">
        <f aca="false">IF((YEAR(F128)-D128)&lt;=11,"Avenirs",IF((YEAR(F128)-D128)&lt;=13,"Benjamins",IF((YEAR(F128)-D128)&lt;=18,"Juniors",IF((YEAR(F128)-D128)&lt;=25,"Seniors","Master C"&amp;ROUNDUP((YEAR(F128)-D128-25)/5,0)))))</f>
        <v>Avenirs</v>
      </c>
    </row>
    <row r="129" customFormat="false" ht="13.8" hidden="false" customHeight="false" outlineLevel="0" collapsed="false">
      <c r="A129" s="1" t="s">
        <v>150</v>
      </c>
      <c r="B129" s="1" t="s">
        <v>9</v>
      </c>
      <c r="C129" s="1" t="s">
        <v>146</v>
      </c>
      <c r="D129" s="1" t="n">
        <v>2015</v>
      </c>
      <c r="E129" s="1" t="s">
        <v>200</v>
      </c>
      <c r="F129" s="3" t="s">
        <v>185</v>
      </c>
      <c r="G129" s="1" t="n">
        <v>12</v>
      </c>
      <c r="H129" s="1" t="str">
        <f aca="false">IF((YEAR(F129)-D129)&lt;=11,"Avenirs",IF((YEAR(F129)-D129)&lt;=13,"Benjamins",IF((YEAR(F129)-D129)&lt;=18,"Juniors",IF((YEAR(F129)-D129)&lt;=25,"Seniors","Master C"&amp;ROUNDUP((YEAR(F129)-D129-25)/5,0)))))</f>
        <v>Avenirs</v>
      </c>
    </row>
    <row r="130" customFormat="false" ht="13.8" hidden="false" customHeight="false" outlineLevel="0" collapsed="false">
      <c r="A130" s="1" t="s">
        <v>46</v>
      </c>
      <c r="B130" s="1" t="s">
        <v>47</v>
      </c>
      <c r="C130" s="1" t="s">
        <v>60</v>
      </c>
      <c r="D130" s="1" t="n">
        <v>2013</v>
      </c>
      <c r="E130" s="1" t="s">
        <v>201</v>
      </c>
      <c r="F130" s="3" t="s">
        <v>202</v>
      </c>
      <c r="G130" s="1" t="n">
        <v>691</v>
      </c>
      <c r="H130" s="1" t="str">
        <f aca="false">IF((YEAR(F130)-D130)&lt;=11,"Avenirs",IF((YEAR(F130)-D130)&lt;=13,"Benjamins",IF((YEAR(F130)-D130)&lt;=18,"Juniors",IF((YEAR(F130)-D130)&lt;=25,"Seniors","Master C"&amp;ROUNDUP((YEAR(F130)-D130-25)/5,0)))))</f>
        <v>Benjamins</v>
      </c>
    </row>
    <row r="131" customFormat="false" ht="13.8" hidden="false" customHeight="false" outlineLevel="0" collapsed="false">
      <c r="A131" s="1" t="s">
        <v>46</v>
      </c>
      <c r="B131" s="1" t="s">
        <v>47</v>
      </c>
      <c r="C131" s="1" t="s">
        <v>68</v>
      </c>
      <c r="D131" s="1" t="n">
        <v>2013</v>
      </c>
      <c r="E131" s="1" t="s">
        <v>203</v>
      </c>
      <c r="F131" s="3" t="s">
        <v>202</v>
      </c>
      <c r="G131" s="1" t="n">
        <v>498</v>
      </c>
      <c r="H131" s="1" t="str">
        <f aca="false">IF((YEAR(F131)-D131)&lt;=11,"Avenirs",IF((YEAR(F131)-D131)&lt;=13,"Benjamins",IF((YEAR(F131)-D131)&lt;=18,"Juniors",IF((YEAR(F131)-D131)&lt;=25,"Seniors","Master C"&amp;ROUNDUP((YEAR(F131)-D131-25)/5,0)))))</f>
        <v>Benjamins</v>
      </c>
    </row>
    <row r="132" customFormat="false" ht="13.8" hidden="false" customHeight="false" outlineLevel="0" collapsed="false">
      <c r="A132" s="1" t="s">
        <v>46</v>
      </c>
      <c r="B132" s="1" t="s">
        <v>47</v>
      </c>
      <c r="C132" s="1" t="s">
        <v>173</v>
      </c>
      <c r="D132" s="1" t="n">
        <v>2012</v>
      </c>
      <c r="E132" s="1" t="s">
        <v>204</v>
      </c>
      <c r="F132" s="3" t="s">
        <v>202</v>
      </c>
      <c r="G132" s="1" t="n">
        <v>493</v>
      </c>
      <c r="H132" s="1" t="str">
        <f aca="false">IF((YEAR(F132)-D132)&lt;=11,"Avenirs",IF((YEAR(F132)-D132)&lt;=13,"Benjamins",IF((YEAR(F132)-D132)&lt;=18,"Juniors",IF((YEAR(F132)-D132)&lt;=25,"Seniors","Master C"&amp;ROUNDUP((YEAR(F132)-D132-25)/5,0)))))</f>
        <v>Juniors</v>
      </c>
    </row>
    <row r="133" customFormat="false" ht="13.8" hidden="false" customHeight="false" outlineLevel="0" collapsed="false">
      <c r="A133" s="1" t="s">
        <v>46</v>
      </c>
      <c r="B133" s="1" t="s">
        <v>47</v>
      </c>
      <c r="C133" s="1" t="s">
        <v>66</v>
      </c>
      <c r="D133" s="1" t="n">
        <v>2012</v>
      </c>
      <c r="E133" s="1" t="s">
        <v>205</v>
      </c>
      <c r="F133" s="3" t="s">
        <v>202</v>
      </c>
      <c r="G133" s="1" t="n">
        <v>360</v>
      </c>
      <c r="H133" s="1" t="str">
        <f aca="false">IF((YEAR(F133)-D133)&lt;=11,"Avenirs",IF((YEAR(F133)-D133)&lt;=13,"Benjamins",IF((YEAR(F133)-D133)&lt;=18,"Juniors",IF((YEAR(F133)-D133)&lt;=25,"Seniors","Master C"&amp;ROUNDUP((YEAR(F133)-D133-25)/5,0)))))</f>
        <v>Juniors</v>
      </c>
    </row>
    <row r="134" customFormat="false" ht="13.8" hidden="false" customHeight="false" outlineLevel="0" collapsed="false">
      <c r="A134" s="1" t="s">
        <v>46</v>
      </c>
      <c r="B134" s="1" t="s">
        <v>47</v>
      </c>
      <c r="C134" s="1" t="s">
        <v>96</v>
      </c>
      <c r="D134" s="1" t="n">
        <v>2010</v>
      </c>
      <c r="E134" s="1" t="s">
        <v>206</v>
      </c>
      <c r="F134" s="3" t="s">
        <v>202</v>
      </c>
      <c r="G134" s="1" t="n">
        <v>325</v>
      </c>
      <c r="H134" s="1" t="str">
        <f aca="false">IF((YEAR(F134)-D134)&lt;=11,"Avenirs",IF((YEAR(F134)-D134)&lt;=13,"Benjamins",IF((YEAR(F134)-D134)&lt;=18,"Juniors",IF((YEAR(F134)-D134)&lt;=25,"Seniors","Master C"&amp;ROUNDUP((YEAR(F134)-D134-25)/5,0)))))</f>
        <v>Juniors</v>
      </c>
    </row>
    <row r="135" customFormat="false" ht="13.8" hidden="false" customHeight="false" outlineLevel="0" collapsed="false">
      <c r="A135" s="1" t="s">
        <v>190</v>
      </c>
      <c r="B135" s="1" t="s">
        <v>47</v>
      </c>
      <c r="C135" s="1" t="s">
        <v>173</v>
      </c>
      <c r="D135" s="1" t="n">
        <v>2012</v>
      </c>
      <c r="E135" s="1" t="s">
        <v>207</v>
      </c>
      <c r="F135" s="3" t="s">
        <v>202</v>
      </c>
      <c r="G135" s="1" t="n">
        <v>647</v>
      </c>
      <c r="H135" s="1" t="str">
        <f aca="false">IF((YEAR(F135)-D135)&lt;=11,"Avenirs",IF((YEAR(F135)-D135)&lt;=13,"Benjamins",IF((YEAR(F135)-D135)&lt;=18,"Juniors",IF((YEAR(F135)-D135)&lt;=25,"Seniors","Master C"&amp;ROUNDUP((YEAR(F135)-D135-25)/5,0)))))</f>
        <v>Juniors</v>
      </c>
    </row>
    <row r="136" customFormat="false" ht="13.8" hidden="false" customHeight="false" outlineLevel="0" collapsed="false">
      <c r="A136" s="1" t="s">
        <v>190</v>
      </c>
      <c r="B136" s="1" t="s">
        <v>47</v>
      </c>
      <c r="C136" s="1" t="s">
        <v>66</v>
      </c>
      <c r="D136" s="1" t="n">
        <v>2012</v>
      </c>
      <c r="E136" s="1" t="s">
        <v>208</v>
      </c>
      <c r="F136" s="3" t="s">
        <v>202</v>
      </c>
      <c r="G136" s="1" t="n">
        <v>539</v>
      </c>
      <c r="H136" s="1" t="str">
        <f aca="false">IF((YEAR(F136)-D136)&lt;=11,"Avenirs",IF((YEAR(F136)-D136)&lt;=13,"Benjamins",IF((YEAR(F136)-D136)&lt;=18,"Juniors",IF((YEAR(F136)-D136)&lt;=25,"Seniors","Master C"&amp;ROUNDUP((YEAR(F136)-D136-25)/5,0)))))</f>
        <v>Juniors</v>
      </c>
    </row>
    <row r="137" customFormat="false" ht="13.8" hidden="false" customHeight="false" outlineLevel="0" collapsed="false">
      <c r="A137" s="1" t="s">
        <v>190</v>
      </c>
      <c r="B137" s="1" t="s">
        <v>47</v>
      </c>
      <c r="C137" s="1" t="s">
        <v>68</v>
      </c>
      <c r="D137" s="1" t="n">
        <v>2013</v>
      </c>
      <c r="E137" s="1" t="s">
        <v>209</v>
      </c>
      <c r="F137" s="3" t="s">
        <v>202</v>
      </c>
      <c r="G137" s="1" t="n">
        <v>528</v>
      </c>
      <c r="H137" s="1" t="str">
        <f aca="false">IF((YEAR(F137)-D137)&lt;=11,"Avenirs",IF((YEAR(F137)-D137)&lt;=13,"Benjamins",IF((YEAR(F137)-D137)&lt;=18,"Juniors",IF((YEAR(F137)-D137)&lt;=25,"Seniors","Master C"&amp;ROUNDUP((YEAR(F137)-D137-25)/5,0)))))</f>
        <v>Benjamins</v>
      </c>
    </row>
    <row r="138" customFormat="false" ht="13.8" hidden="false" customHeight="false" outlineLevel="0" collapsed="false">
      <c r="A138" s="1" t="s">
        <v>210</v>
      </c>
      <c r="B138" s="1" t="s">
        <v>47</v>
      </c>
      <c r="C138" s="1" t="s">
        <v>173</v>
      </c>
      <c r="D138" s="1" t="n">
        <v>2012</v>
      </c>
      <c r="E138" s="1" t="s">
        <v>211</v>
      </c>
      <c r="F138" s="3" t="s">
        <v>202</v>
      </c>
      <c r="G138" s="1" t="n">
        <v>431</v>
      </c>
      <c r="H138" s="1" t="str">
        <f aca="false">IF((YEAR(F138)-D138)&lt;=11,"Avenirs",IF((YEAR(F138)-D138)&lt;=13,"Benjamins",IF((YEAR(F138)-D138)&lt;=18,"Juniors",IF((YEAR(F138)-D138)&lt;=25,"Seniors","Master C"&amp;ROUNDUP((YEAR(F138)-D138-25)/5,0)))))</f>
        <v>Juniors</v>
      </c>
    </row>
    <row r="139" customFormat="false" ht="13.8" hidden="false" customHeight="false" outlineLevel="0" collapsed="false">
      <c r="A139" s="1" t="s">
        <v>210</v>
      </c>
      <c r="B139" s="1" t="s">
        <v>47</v>
      </c>
      <c r="C139" s="1" t="s">
        <v>66</v>
      </c>
      <c r="D139" s="1" t="n">
        <v>2012</v>
      </c>
      <c r="E139" s="1" t="s">
        <v>212</v>
      </c>
      <c r="F139" s="3" t="s">
        <v>202</v>
      </c>
      <c r="G139" s="1" t="n">
        <v>319</v>
      </c>
      <c r="H139" s="1" t="str">
        <f aca="false">IF((YEAR(F139)-D139)&lt;=11,"Avenirs",IF((YEAR(F139)-D139)&lt;=13,"Benjamins",IF((YEAR(F139)-D139)&lt;=18,"Juniors",IF((YEAR(F139)-D139)&lt;=25,"Seniors","Master C"&amp;ROUNDUP((YEAR(F139)-D139-25)/5,0)))))</f>
        <v>Juniors</v>
      </c>
    </row>
    <row r="140" customFormat="false" ht="13.8" hidden="false" customHeight="false" outlineLevel="0" collapsed="false">
      <c r="A140" s="1" t="s">
        <v>210</v>
      </c>
      <c r="B140" s="1" t="s">
        <v>47</v>
      </c>
      <c r="C140" s="1" t="s">
        <v>60</v>
      </c>
      <c r="D140" s="1" t="n">
        <v>2013</v>
      </c>
      <c r="E140" s="1" t="s">
        <v>213</v>
      </c>
      <c r="F140" s="3" t="s">
        <v>202</v>
      </c>
      <c r="G140" s="1" t="n">
        <v>299</v>
      </c>
      <c r="H140" s="1" t="str">
        <f aca="false">IF((YEAR(F140)-D140)&lt;=11,"Avenirs",IF((YEAR(F140)-D140)&lt;=13,"Benjamins",IF((YEAR(F140)-D140)&lt;=18,"Juniors",IF((YEAR(F140)-D140)&lt;=25,"Seniors","Master C"&amp;ROUNDUP((YEAR(F140)-D140-25)/5,0)))))</f>
        <v>Benjamins</v>
      </c>
    </row>
    <row r="141" customFormat="false" ht="13.8" hidden="false" customHeight="false" outlineLevel="0" collapsed="false">
      <c r="A141" s="1" t="s">
        <v>210</v>
      </c>
      <c r="B141" s="1" t="s">
        <v>47</v>
      </c>
      <c r="C141" s="1" t="s">
        <v>96</v>
      </c>
      <c r="D141" s="1" t="n">
        <v>2010</v>
      </c>
      <c r="E141" s="1" t="s">
        <v>214</v>
      </c>
      <c r="F141" s="3" t="s">
        <v>202</v>
      </c>
      <c r="G141" s="1" t="n">
        <v>247</v>
      </c>
      <c r="H141" s="1" t="str">
        <f aca="false">IF((YEAR(F141)-D141)&lt;=11,"Avenirs",IF((YEAR(F141)-D141)&lt;=13,"Benjamins",IF((YEAR(F141)-D141)&lt;=18,"Juniors",IF((YEAR(F141)-D141)&lt;=25,"Seniors","Master C"&amp;ROUNDUP((YEAR(F141)-D141-25)/5,0)))))</f>
        <v>Juniors</v>
      </c>
    </row>
    <row r="142" customFormat="false" ht="13.8" hidden="false" customHeight="false" outlineLevel="0" collapsed="false">
      <c r="A142" s="1" t="s">
        <v>35</v>
      </c>
      <c r="B142" s="1" t="s">
        <v>9</v>
      </c>
      <c r="C142" s="1" t="s">
        <v>127</v>
      </c>
      <c r="D142" s="1" t="n">
        <v>2012</v>
      </c>
      <c r="E142" s="1" t="s">
        <v>215</v>
      </c>
      <c r="F142" s="3" t="s">
        <v>202</v>
      </c>
      <c r="G142" s="1" t="n">
        <v>516</v>
      </c>
      <c r="H142" s="1" t="str">
        <f aca="false">IF((YEAR(F142)-D142)&lt;=11,"Avenirs",IF((YEAR(F142)-D142)&lt;=13,"Benjamins",IF((YEAR(F142)-D142)&lt;=18,"Juniors",IF((YEAR(F142)-D142)&lt;=25,"Seniors","Master C"&amp;ROUNDUP((YEAR(F142)-D142-25)/5,0)))))</f>
        <v>Juniors</v>
      </c>
    </row>
    <row r="143" customFormat="false" ht="13.8" hidden="false" customHeight="false" outlineLevel="0" collapsed="false">
      <c r="A143" s="1" t="s">
        <v>216</v>
      </c>
      <c r="B143" s="1" t="s">
        <v>9</v>
      </c>
      <c r="C143" s="1" t="s">
        <v>127</v>
      </c>
      <c r="D143" s="1" t="n">
        <v>2012</v>
      </c>
      <c r="E143" s="1" t="s">
        <v>217</v>
      </c>
      <c r="F143" s="3" t="s">
        <v>202</v>
      </c>
      <c r="G143" s="1" t="n">
        <v>207</v>
      </c>
      <c r="H143" s="1" t="str">
        <f aca="false">IF((YEAR(F143)-D143)&lt;=11,"Avenirs",IF((YEAR(F143)-D143)&lt;=13,"Benjamins",IF((YEAR(F143)-D143)&lt;=18,"Juniors",IF((YEAR(F143)-D143)&lt;=25,"Seniors","Master C"&amp;ROUNDUP((YEAR(F143)-D143-25)/5,0)))))</f>
        <v>Juniors</v>
      </c>
    </row>
    <row r="144" customFormat="false" ht="13.8" hidden="false" customHeight="false" outlineLevel="0" collapsed="false">
      <c r="A144" s="1" t="s">
        <v>46</v>
      </c>
      <c r="B144" s="1" t="s">
        <v>47</v>
      </c>
      <c r="C144" s="1" t="s">
        <v>58</v>
      </c>
      <c r="D144" s="1" t="n">
        <v>2012</v>
      </c>
      <c r="E144" s="1" t="s">
        <v>218</v>
      </c>
      <c r="F144" s="3" t="s">
        <v>219</v>
      </c>
      <c r="G144" s="1" t="n">
        <v>652</v>
      </c>
      <c r="H144" s="1" t="str">
        <f aca="false">IF((YEAR(F144)-D144)&lt;=11,"Avenirs",IF((YEAR(F144)-D144)&lt;=13,"Benjamins",IF((YEAR(F144)-D144)&lt;=18,"Juniors",IF((YEAR(F144)-D144)&lt;=25,"Seniors","Master C"&amp;ROUNDUP((YEAR(F144)-D144-25)/5,0)))))</f>
        <v>Juniors</v>
      </c>
    </row>
    <row r="145" customFormat="false" ht="13.8" hidden="false" customHeight="false" outlineLevel="0" collapsed="false">
      <c r="A145" s="1" t="s">
        <v>46</v>
      </c>
      <c r="B145" s="1" t="s">
        <v>47</v>
      </c>
      <c r="C145" s="1" t="s">
        <v>173</v>
      </c>
      <c r="D145" s="1" t="n">
        <v>2012</v>
      </c>
      <c r="E145" s="1" t="s">
        <v>220</v>
      </c>
      <c r="F145" s="3" t="s">
        <v>219</v>
      </c>
      <c r="G145" s="1" t="n">
        <v>511</v>
      </c>
      <c r="H145" s="1" t="str">
        <f aca="false">IF((YEAR(F145)-D145)&lt;=11,"Avenirs",IF((YEAR(F145)-D145)&lt;=13,"Benjamins",IF((YEAR(F145)-D145)&lt;=18,"Juniors",IF((YEAR(F145)-D145)&lt;=25,"Seniors","Master C"&amp;ROUNDUP((YEAR(F145)-D145-25)/5,0)))))</f>
        <v>Juniors</v>
      </c>
    </row>
    <row r="146" customFormat="false" ht="13.8" hidden="false" customHeight="false" outlineLevel="0" collapsed="false">
      <c r="A146" s="1" t="s">
        <v>46</v>
      </c>
      <c r="B146" s="1" t="s">
        <v>47</v>
      </c>
      <c r="C146" s="1" t="s">
        <v>68</v>
      </c>
      <c r="D146" s="1" t="n">
        <v>2013</v>
      </c>
      <c r="E146" s="1" t="s">
        <v>221</v>
      </c>
      <c r="F146" s="3" t="s">
        <v>219</v>
      </c>
      <c r="G146" s="1" t="n">
        <v>497</v>
      </c>
      <c r="H146" s="1" t="str">
        <f aca="false">IF((YEAR(F146)-D146)&lt;=11,"Avenirs",IF((YEAR(F146)-D146)&lt;=13,"Benjamins",IF((YEAR(F146)-D146)&lt;=18,"Juniors",IF((YEAR(F146)-D146)&lt;=25,"Seniors","Master C"&amp;ROUNDUP((YEAR(F146)-D146-25)/5,0)))))</f>
        <v>Benjamins</v>
      </c>
    </row>
    <row r="147" customFormat="false" ht="13.8" hidden="false" customHeight="false" outlineLevel="0" collapsed="false">
      <c r="A147" s="1" t="s">
        <v>46</v>
      </c>
      <c r="B147" s="1" t="s">
        <v>47</v>
      </c>
      <c r="C147" s="1" t="s">
        <v>66</v>
      </c>
      <c r="D147" s="1" t="n">
        <v>2012</v>
      </c>
      <c r="E147" s="1" t="s">
        <v>222</v>
      </c>
      <c r="F147" s="3" t="s">
        <v>219</v>
      </c>
      <c r="G147" s="1" t="n">
        <v>377</v>
      </c>
      <c r="H147" s="1" t="str">
        <f aca="false">IF((YEAR(F147)-D147)&lt;=11,"Avenirs",IF((YEAR(F147)-D147)&lt;=13,"Benjamins",IF((YEAR(F147)-D147)&lt;=18,"Juniors",IF((YEAR(F147)-D147)&lt;=25,"Seniors","Master C"&amp;ROUNDUP((YEAR(F147)-D147-25)/5,0)))))</f>
        <v>Juniors</v>
      </c>
    </row>
    <row r="148" customFormat="false" ht="13.8" hidden="false" customHeight="false" outlineLevel="0" collapsed="false">
      <c r="A148" s="1" t="s">
        <v>46</v>
      </c>
      <c r="B148" s="1" t="s">
        <v>47</v>
      </c>
      <c r="C148" s="1" t="s">
        <v>96</v>
      </c>
      <c r="D148" s="1" t="n">
        <v>2010</v>
      </c>
      <c r="E148" s="1" t="s">
        <v>223</v>
      </c>
      <c r="F148" s="3" t="s">
        <v>219</v>
      </c>
      <c r="G148" s="1" t="n">
        <v>321</v>
      </c>
      <c r="H148" s="1" t="str">
        <f aca="false">IF((YEAR(F148)-D148)&lt;=11,"Avenirs",IF((YEAR(F148)-D148)&lt;=13,"Benjamins",IF((YEAR(F148)-D148)&lt;=18,"Juniors",IF((YEAR(F148)-D148)&lt;=25,"Seniors","Master C"&amp;ROUNDUP((YEAR(F148)-D148-25)/5,0)))))</f>
        <v>Juniors</v>
      </c>
    </row>
    <row r="149" customFormat="false" ht="13.8" hidden="false" customHeight="false" outlineLevel="0" collapsed="false">
      <c r="A149" s="1" t="s">
        <v>46</v>
      </c>
      <c r="B149" s="1" t="s">
        <v>47</v>
      </c>
      <c r="C149" s="1" t="s">
        <v>155</v>
      </c>
      <c r="D149" s="1" t="n">
        <v>2016</v>
      </c>
      <c r="E149" s="1" t="s">
        <v>224</v>
      </c>
      <c r="F149" s="3" t="s">
        <v>219</v>
      </c>
      <c r="G149" s="1" t="n">
        <v>278</v>
      </c>
      <c r="H149" s="1" t="str">
        <f aca="false">IF((YEAR(F149)-D149)&lt;=11,"Avenirs",IF((YEAR(F149)-D149)&lt;=13,"Benjamins",IF((YEAR(F149)-D149)&lt;=18,"Juniors",IF((YEAR(F149)-D149)&lt;=25,"Seniors","Master C"&amp;ROUNDUP((YEAR(F149)-D149-25)/5,0)))))</f>
        <v>Avenirs</v>
      </c>
    </row>
    <row r="150" customFormat="false" ht="13.8" hidden="false" customHeight="false" outlineLevel="0" collapsed="false">
      <c r="A150" s="1" t="s">
        <v>46</v>
      </c>
      <c r="B150" s="1" t="s">
        <v>47</v>
      </c>
      <c r="C150" s="1" t="s">
        <v>72</v>
      </c>
      <c r="D150" s="1" t="n">
        <v>2015</v>
      </c>
      <c r="E150" s="1" t="s">
        <v>225</v>
      </c>
      <c r="F150" s="3" t="s">
        <v>219</v>
      </c>
      <c r="G150" s="1" t="n">
        <v>244</v>
      </c>
      <c r="H150" s="1" t="str">
        <f aca="false">IF((YEAR(F150)-D150)&lt;=11,"Avenirs",IF((YEAR(F150)-D150)&lt;=13,"Benjamins",IF((YEAR(F150)-D150)&lt;=18,"Juniors",IF((YEAR(F150)-D150)&lt;=25,"Seniors","Master C"&amp;ROUNDUP((YEAR(F150)-D150-25)/5,0)))))</f>
        <v>Avenirs</v>
      </c>
    </row>
    <row r="151" customFormat="false" ht="13.8" hidden="false" customHeight="false" outlineLevel="0" collapsed="false">
      <c r="A151" s="1" t="s">
        <v>46</v>
      </c>
      <c r="B151" s="1" t="s">
        <v>47</v>
      </c>
      <c r="C151" s="1" t="s">
        <v>70</v>
      </c>
      <c r="D151" s="1" t="n">
        <v>2014</v>
      </c>
      <c r="E151" s="1" t="s">
        <v>226</v>
      </c>
      <c r="F151" s="3" t="s">
        <v>219</v>
      </c>
      <c r="G151" s="1" t="n">
        <v>218</v>
      </c>
      <c r="H151" s="1" t="str">
        <f aca="false">IF((YEAR(F151)-D151)&lt;=11,"Avenirs",IF((YEAR(F151)-D151)&lt;=13,"Benjamins",IF((YEAR(F151)-D151)&lt;=18,"Juniors",IF((YEAR(F151)-D151)&lt;=25,"Seniors","Master C"&amp;ROUNDUP((YEAR(F151)-D151-25)/5,0)))))</f>
        <v>Benjamins</v>
      </c>
    </row>
    <row r="152" customFormat="false" ht="13.8" hidden="false" customHeight="false" outlineLevel="0" collapsed="false">
      <c r="A152" s="1" t="s">
        <v>46</v>
      </c>
      <c r="B152" s="1" t="s">
        <v>47</v>
      </c>
      <c r="C152" s="1" t="s">
        <v>135</v>
      </c>
      <c r="D152" s="1" t="n">
        <v>2015</v>
      </c>
      <c r="E152" s="1" t="s">
        <v>227</v>
      </c>
      <c r="F152" s="3" t="s">
        <v>219</v>
      </c>
      <c r="G152" s="1" t="n">
        <v>5</v>
      </c>
      <c r="H152" s="1" t="str">
        <f aca="false">IF((YEAR(F152)-D152)&lt;=11,"Avenirs",IF((YEAR(F152)-D152)&lt;=13,"Benjamins",IF((YEAR(F152)-D152)&lt;=18,"Juniors",IF((YEAR(F152)-D152)&lt;=25,"Seniors","Master C"&amp;ROUNDUP((YEAR(F152)-D152-25)/5,0)))))</f>
        <v>Avenirs</v>
      </c>
    </row>
    <row r="153" customFormat="false" ht="13.8" hidden="false" customHeight="false" outlineLevel="0" collapsed="false">
      <c r="A153" s="1" t="s">
        <v>110</v>
      </c>
      <c r="B153" s="1" t="s">
        <v>47</v>
      </c>
      <c r="C153" s="1" t="s">
        <v>58</v>
      </c>
      <c r="D153" s="1" t="n">
        <v>2012</v>
      </c>
      <c r="E153" s="1" t="s">
        <v>228</v>
      </c>
      <c r="F153" s="3" t="s">
        <v>219</v>
      </c>
      <c r="G153" s="1" t="n">
        <v>583</v>
      </c>
      <c r="H153" s="1" t="str">
        <f aca="false">IF((YEAR(F153)-D153)&lt;=11,"Avenirs",IF((YEAR(F153)-D153)&lt;=13,"Benjamins",IF((YEAR(F153)-D153)&lt;=18,"Juniors",IF((YEAR(F153)-D153)&lt;=25,"Seniors","Master C"&amp;ROUNDUP((YEAR(F153)-D153-25)/5,0)))))</f>
        <v>Juniors</v>
      </c>
    </row>
    <row r="154" customFormat="false" ht="13.8" hidden="false" customHeight="false" outlineLevel="0" collapsed="false">
      <c r="A154" s="1" t="s">
        <v>110</v>
      </c>
      <c r="B154" s="1" t="s">
        <v>47</v>
      </c>
      <c r="C154" s="1" t="s">
        <v>155</v>
      </c>
      <c r="D154" s="1" t="n">
        <v>2016</v>
      </c>
      <c r="E154" s="1" t="s">
        <v>229</v>
      </c>
      <c r="F154" s="3" t="s">
        <v>219</v>
      </c>
      <c r="G154" s="1" t="n">
        <v>246</v>
      </c>
      <c r="H154" s="1" t="str">
        <f aca="false">IF((YEAR(F154)-D154)&lt;=11,"Avenirs",IF((YEAR(F154)-D154)&lt;=13,"Benjamins",IF((YEAR(F154)-D154)&lt;=18,"Juniors",IF((YEAR(F154)-D154)&lt;=25,"Seniors","Master C"&amp;ROUNDUP((YEAR(F154)-D154-25)/5,0)))))</f>
        <v>Avenirs</v>
      </c>
    </row>
    <row r="155" customFormat="false" ht="13.8" hidden="false" customHeight="false" outlineLevel="0" collapsed="false">
      <c r="A155" s="1" t="s">
        <v>81</v>
      </c>
      <c r="B155" s="1" t="s">
        <v>47</v>
      </c>
      <c r="C155" s="1" t="s">
        <v>173</v>
      </c>
      <c r="D155" s="1" t="n">
        <v>2012</v>
      </c>
      <c r="E155" s="1" t="s">
        <v>230</v>
      </c>
      <c r="F155" s="3" t="s">
        <v>219</v>
      </c>
      <c r="G155" s="1" t="n">
        <v>575</v>
      </c>
      <c r="H155" s="1" t="str">
        <f aca="false">IF((YEAR(F155)-D155)&lt;=11,"Avenirs",IF((YEAR(F155)-D155)&lt;=13,"Benjamins",IF((YEAR(F155)-D155)&lt;=18,"Juniors",IF((YEAR(F155)-D155)&lt;=25,"Seniors","Master C"&amp;ROUNDUP((YEAR(F155)-D155-25)/5,0)))))</f>
        <v>Juniors</v>
      </c>
    </row>
    <row r="156" customFormat="false" ht="13.8" hidden="false" customHeight="false" outlineLevel="0" collapsed="false">
      <c r="A156" s="1" t="s">
        <v>81</v>
      </c>
      <c r="B156" s="1" t="s">
        <v>47</v>
      </c>
      <c r="C156" s="1" t="s">
        <v>66</v>
      </c>
      <c r="D156" s="1" t="n">
        <v>2012</v>
      </c>
      <c r="E156" s="1" t="s">
        <v>231</v>
      </c>
      <c r="F156" s="3" t="s">
        <v>219</v>
      </c>
      <c r="G156" s="1" t="n">
        <v>456</v>
      </c>
      <c r="H156" s="1" t="str">
        <f aca="false">IF((YEAR(F156)-D156)&lt;=11,"Avenirs",IF((YEAR(F156)-D156)&lt;=13,"Benjamins",IF((YEAR(F156)-D156)&lt;=18,"Juniors",IF((YEAR(F156)-D156)&lt;=25,"Seniors","Master C"&amp;ROUNDUP((YEAR(F156)-D156-25)/5,0)))))</f>
        <v>Juniors</v>
      </c>
    </row>
    <row r="157" customFormat="false" ht="13.8" hidden="false" customHeight="false" outlineLevel="0" collapsed="false">
      <c r="A157" s="1" t="s">
        <v>81</v>
      </c>
      <c r="B157" s="1" t="s">
        <v>47</v>
      </c>
      <c r="C157" s="1" t="s">
        <v>68</v>
      </c>
      <c r="D157" s="1" t="n">
        <v>2013</v>
      </c>
      <c r="E157" s="1" t="s">
        <v>232</v>
      </c>
      <c r="F157" s="3" t="s">
        <v>219</v>
      </c>
      <c r="G157" s="1" t="n">
        <v>432</v>
      </c>
      <c r="H157" s="1" t="str">
        <f aca="false">IF((YEAR(F157)-D157)&lt;=11,"Avenirs",IF((YEAR(F157)-D157)&lt;=13,"Benjamins",IF((YEAR(F157)-D157)&lt;=18,"Juniors",IF((YEAR(F157)-D157)&lt;=25,"Seniors","Master C"&amp;ROUNDUP((YEAR(F157)-D157-25)/5,0)))))</f>
        <v>Benjamins</v>
      </c>
    </row>
    <row r="158" customFormat="false" ht="13.8" hidden="false" customHeight="false" outlineLevel="0" collapsed="false">
      <c r="A158" s="1" t="s">
        <v>81</v>
      </c>
      <c r="B158" s="1" t="s">
        <v>47</v>
      </c>
      <c r="C158" s="1" t="s">
        <v>70</v>
      </c>
      <c r="D158" s="1" t="n">
        <v>2014</v>
      </c>
      <c r="E158" s="1" t="s">
        <v>233</v>
      </c>
      <c r="F158" s="3" t="s">
        <v>219</v>
      </c>
      <c r="G158" s="1" t="n">
        <v>317</v>
      </c>
      <c r="H158" s="1" t="str">
        <f aca="false">IF((YEAR(F158)-D158)&lt;=11,"Avenirs",IF((YEAR(F158)-D158)&lt;=13,"Benjamins",IF((YEAR(F158)-D158)&lt;=18,"Juniors",IF((YEAR(F158)-D158)&lt;=25,"Seniors","Master C"&amp;ROUNDUP((YEAR(F158)-D158-25)/5,0)))))</f>
        <v>Benjamins</v>
      </c>
    </row>
    <row r="159" customFormat="false" ht="13.8" hidden="false" customHeight="false" outlineLevel="0" collapsed="false">
      <c r="A159" s="1" t="s">
        <v>81</v>
      </c>
      <c r="B159" s="1" t="s">
        <v>47</v>
      </c>
      <c r="C159" s="1" t="s">
        <v>72</v>
      </c>
      <c r="D159" s="1" t="n">
        <v>2015</v>
      </c>
      <c r="E159" s="1" t="s">
        <v>234</v>
      </c>
      <c r="F159" s="3" t="s">
        <v>219</v>
      </c>
      <c r="G159" s="1" t="n">
        <v>298</v>
      </c>
      <c r="H159" s="1" t="str">
        <f aca="false">IF((YEAR(F159)-D159)&lt;=11,"Avenirs",IF((YEAR(F159)-D159)&lt;=13,"Benjamins",IF((YEAR(F159)-D159)&lt;=18,"Juniors",IF((YEAR(F159)-D159)&lt;=25,"Seniors","Master C"&amp;ROUNDUP((YEAR(F159)-D159-25)/5,0)))))</f>
        <v>Avenirs</v>
      </c>
    </row>
    <row r="160" customFormat="false" ht="13.8" hidden="false" customHeight="false" outlineLevel="0" collapsed="false">
      <c r="A160" s="1" t="s">
        <v>81</v>
      </c>
      <c r="B160" s="1" t="s">
        <v>47</v>
      </c>
      <c r="C160" s="1" t="s">
        <v>135</v>
      </c>
      <c r="D160" s="1" t="n">
        <v>2015</v>
      </c>
      <c r="E160" s="1" t="s">
        <v>235</v>
      </c>
      <c r="F160" s="3" t="s">
        <v>219</v>
      </c>
      <c r="G160" s="1" t="n">
        <v>87</v>
      </c>
      <c r="H160" s="1" t="str">
        <f aca="false">IF((YEAR(F160)-D160)&lt;=11,"Avenirs",IF((YEAR(F160)-D160)&lt;=13,"Benjamins",IF((YEAR(F160)-D160)&lt;=18,"Juniors",IF((YEAR(F160)-D160)&lt;=25,"Seniors","Master C"&amp;ROUNDUP((YEAR(F160)-D160-25)/5,0)))))</f>
        <v>Avenirs</v>
      </c>
    </row>
    <row r="161" customFormat="false" ht="13.8" hidden="false" customHeight="false" outlineLevel="0" collapsed="false">
      <c r="A161" s="1" t="s">
        <v>74</v>
      </c>
      <c r="B161" s="1" t="s">
        <v>47</v>
      </c>
      <c r="C161" s="1" t="s">
        <v>58</v>
      </c>
      <c r="D161" s="1" t="n">
        <v>2012</v>
      </c>
      <c r="E161" s="1" t="s">
        <v>236</v>
      </c>
      <c r="F161" s="3" t="s">
        <v>219</v>
      </c>
      <c r="G161" s="1" t="n">
        <v>312</v>
      </c>
      <c r="H161" s="1" t="str">
        <f aca="false">IF((YEAR(F161)-D161)&lt;=11,"Avenirs",IF((YEAR(F161)-D161)&lt;=13,"Benjamins",IF((YEAR(F161)-D161)&lt;=18,"Juniors",IF((YEAR(F161)-D161)&lt;=25,"Seniors","Master C"&amp;ROUNDUP((YEAR(F161)-D161-25)/5,0)))))</f>
        <v>Juniors</v>
      </c>
    </row>
    <row r="162" customFormat="false" ht="13.8" hidden="false" customHeight="false" outlineLevel="0" collapsed="false">
      <c r="A162" s="1" t="s">
        <v>74</v>
      </c>
      <c r="B162" s="1" t="s">
        <v>47</v>
      </c>
      <c r="C162" s="1" t="s">
        <v>96</v>
      </c>
      <c r="D162" s="1" t="n">
        <v>2010</v>
      </c>
      <c r="E162" s="1" t="s">
        <v>237</v>
      </c>
      <c r="F162" s="3" t="s">
        <v>219</v>
      </c>
      <c r="G162" s="1" t="n">
        <v>208</v>
      </c>
      <c r="H162" s="1" t="str">
        <f aca="false">IF((YEAR(F162)-D162)&lt;=11,"Avenirs",IF((YEAR(F162)-D162)&lt;=13,"Benjamins",IF((YEAR(F162)-D162)&lt;=18,"Juniors",IF((YEAR(F162)-D162)&lt;=25,"Seniors","Master C"&amp;ROUNDUP((YEAR(F162)-D162-25)/5,0)))))</f>
        <v>Juniors</v>
      </c>
    </row>
    <row r="163" customFormat="false" ht="13.8" hidden="false" customHeight="false" outlineLevel="0" collapsed="false">
      <c r="A163" s="1" t="s">
        <v>35</v>
      </c>
      <c r="B163" s="1" t="s">
        <v>9</v>
      </c>
      <c r="C163" s="1" t="s">
        <v>125</v>
      </c>
      <c r="D163" s="1" t="n">
        <v>2008</v>
      </c>
      <c r="E163" s="1" t="s">
        <v>238</v>
      </c>
      <c r="F163" s="3" t="s">
        <v>219</v>
      </c>
      <c r="G163" s="1" t="n">
        <v>752</v>
      </c>
      <c r="H163" s="1" t="str">
        <f aca="false">IF((YEAR(F163)-D163)&lt;=11,"Avenirs",IF((YEAR(F163)-D163)&lt;=13,"Benjamins",IF((YEAR(F163)-D163)&lt;=18,"Juniors",IF((YEAR(F163)-D163)&lt;=25,"Seniors","Master C"&amp;ROUNDUP((YEAR(F163)-D163-25)/5,0)))))</f>
        <v>Juniors</v>
      </c>
    </row>
    <row r="164" customFormat="false" ht="13.8" hidden="false" customHeight="false" outlineLevel="0" collapsed="false">
      <c r="A164" s="1" t="s">
        <v>35</v>
      </c>
      <c r="B164" s="1" t="s">
        <v>9</v>
      </c>
      <c r="C164" s="1" t="s">
        <v>127</v>
      </c>
      <c r="D164" s="1" t="n">
        <v>2012</v>
      </c>
      <c r="E164" s="1" t="s">
        <v>239</v>
      </c>
      <c r="F164" s="3" t="s">
        <v>219</v>
      </c>
      <c r="G164" s="1" t="n">
        <v>463</v>
      </c>
      <c r="H164" s="1" t="str">
        <f aca="false">IF((YEAR(F164)-D164)&lt;=11,"Avenirs",IF((YEAR(F164)-D164)&lt;=13,"Benjamins",IF((YEAR(F164)-D164)&lt;=18,"Juniors",IF((YEAR(F164)-D164)&lt;=25,"Seniors","Master C"&amp;ROUNDUP((YEAR(F164)-D164-25)/5,0)))))</f>
        <v>Juniors</v>
      </c>
    </row>
    <row r="165" customFormat="false" ht="13.8" hidden="false" customHeight="false" outlineLevel="0" collapsed="false">
      <c r="A165" s="1" t="s">
        <v>35</v>
      </c>
      <c r="B165" s="1" t="s">
        <v>9</v>
      </c>
      <c r="C165" s="1" t="s">
        <v>240</v>
      </c>
      <c r="D165" s="1" t="n">
        <v>2011</v>
      </c>
      <c r="E165" s="1" t="s">
        <v>241</v>
      </c>
      <c r="F165" s="3" t="s">
        <v>219</v>
      </c>
      <c r="G165" s="1" t="n">
        <v>403</v>
      </c>
      <c r="H165" s="1" t="str">
        <f aca="false">IF((YEAR(F165)-D165)&lt;=11,"Avenirs",IF((YEAR(F165)-D165)&lt;=13,"Benjamins",IF((YEAR(F165)-D165)&lt;=18,"Juniors",IF((YEAR(F165)-D165)&lt;=25,"Seniors","Master C"&amp;ROUNDUP((YEAR(F165)-D165-25)/5,0)))))</f>
        <v>Juniors</v>
      </c>
    </row>
    <row r="166" customFormat="false" ht="13.8" hidden="false" customHeight="false" outlineLevel="0" collapsed="false">
      <c r="A166" s="1" t="s">
        <v>35</v>
      </c>
      <c r="B166" s="1" t="s">
        <v>9</v>
      </c>
      <c r="C166" s="1" t="s">
        <v>142</v>
      </c>
      <c r="D166" s="1" t="n">
        <v>2015</v>
      </c>
      <c r="E166" s="1" t="s">
        <v>78</v>
      </c>
      <c r="F166" s="3" t="s">
        <v>219</v>
      </c>
      <c r="G166" s="1" t="n">
        <v>263</v>
      </c>
      <c r="H166" s="1" t="str">
        <f aca="false">IF((YEAR(F166)-D166)&lt;=11,"Avenirs",IF((YEAR(F166)-D166)&lt;=13,"Benjamins",IF((YEAR(F166)-D166)&lt;=18,"Juniors",IF((YEAR(F166)-D166)&lt;=25,"Seniors","Master C"&amp;ROUNDUP((YEAR(F166)-D166-25)/5,0)))))</f>
        <v>Avenirs</v>
      </c>
    </row>
    <row r="167" customFormat="false" ht="13.8" hidden="false" customHeight="false" outlineLevel="0" collapsed="false">
      <c r="A167" s="1" t="s">
        <v>35</v>
      </c>
      <c r="B167" s="1" t="s">
        <v>9</v>
      </c>
      <c r="C167" s="1" t="s">
        <v>144</v>
      </c>
      <c r="D167" s="1" t="n">
        <v>2015</v>
      </c>
      <c r="E167" s="1" t="s">
        <v>242</v>
      </c>
      <c r="F167" s="3" t="s">
        <v>219</v>
      </c>
      <c r="G167" s="1" t="n">
        <v>98</v>
      </c>
      <c r="H167" s="1" t="str">
        <f aca="false">IF((YEAR(F167)-D167)&lt;=11,"Avenirs",IF((YEAR(F167)-D167)&lt;=13,"Benjamins",IF((YEAR(F167)-D167)&lt;=18,"Juniors",IF((YEAR(F167)-D167)&lt;=25,"Seniors","Master C"&amp;ROUNDUP((YEAR(F167)-D167-25)/5,0)))))</f>
        <v>Avenirs</v>
      </c>
    </row>
    <row r="168" customFormat="false" ht="13.8" hidden="false" customHeight="false" outlineLevel="0" collapsed="false">
      <c r="A168" s="1" t="s">
        <v>35</v>
      </c>
      <c r="B168" s="1" t="s">
        <v>9</v>
      </c>
      <c r="C168" s="1" t="s">
        <v>161</v>
      </c>
      <c r="D168" s="1" t="n">
        <v>2016</v>
      </c>
      <c r="E168" s="1" t="s">
        <v>243</v>
      </c>
      <c r="F168" s="3" t="s">
        <v>219</v>
      </c>
      <c r="G168" s="1" t="n">
        <v>23</v>
      </c>
      <c r="H168" s="1" t="str">
        <f aca="false">IF((YEAR(F168)-D168)&lt;=11,"Avenirs",IF((YEAR(F168)-D168)&lt;=13,"Benjamins",IF((YEAR(F168)-D168)&lt;=18,"Juniors",IF((YEAR(F168)-D168)&lt;=25,"Seniors","Master C"&amp;ROUNDUP((YEAR(F168)-D168-25)/5,0)))))</f>
        <v>Avenirs</v>
      </c>
    </row>
    <row r="169" customFormat="false" ht="13.8" hidden="false" customHeight="false" outlineLevel="0" collapsed="false">
      <c r="A169" s="1" t="s">
        <v>150</v>
      </c>
      <c r="B169" s="1" t="s">
        <v>9</v>
      </c>
      <c r="C169" s="1" t="s">
        <v>125</v>
      </c>
      <c r="D169" s="1" t="n">
        <v>2008</v>
      </c>
      <c r="E169" s="1" t="s">
        <v>244</v>
      </c>
      <c r="F169" s="3" t="s">
        <v>219</v>
      </c>
      <c r="G169" s="1" t="n">
        <v>620</v>
      </c>
      <c r="H169" s="1" t="str">
        <f aca="false">IF((YEAR(F169)-D169)&lt;=11,"Avenirs",IF((YEAR(F169)-D169)&lt;=13,"Benjamins",IF((YEAR(F169)-D169)&lt;=18,"Juniors",IF((YEAR(F169)-D169)&lt;=25,"Seniors","Master C"&amp;ROUNDUP((YEAR(F169)-D169-25)/5,0)))))</f>
        <v>Juniors</v>
      </c>
    </row>
    <row r="170" customFormat="false" ht="13.8" hidden="false" customHeight="false" outlineLevel="0" collapsed="false">
      <c r="A170" s="1" t="s">
        <v>150</v>
      </c>
      <c r="B170" s="1" t="s">
        <v>9</v>
      </c>
      <c r="C170" s="1" t="s">
        <v>240</v>
      </c>
      <c r="D170" s="1" t="n">
        <v>2011</v>
      </c>
      <c r="E170" s="1" t="s">
        <v>245</v>
      </c>
      <c r="F170" s="3" t="s">
        <v>219</v>
      </c>
      <c r="G170" s="1" t="n">
        <v>391</v>
      </c>
      <c r="H170" s="1" t="str">
        <f aca="false">IF((YEAR(F170)-D170)&lt;=11,"Avenirs",IF((YEAR(F170)-D170)&lt;=13,"Benjamins",IF((YEAR(F170)-D170)&lt;=18,"Juniors",IF((YEAR(F170)-D170)&lt;=25,"Seniors","Master C"&amp;ROUNDUP((YEAR(F170)-D170-25)/5,0)))))</f>
        <v>Juniors</v>
      </c>
    </row>
    <row r="171" customFormat="false" ht="13.8" hidden="false" customHeight="false" outlineLevel="0" collapsed="false">
      <c r="A171" s="1" t="s">
        <v>150</v>
      </c>
      <c r="B171" s="1" t="s">
        <v>9</v>
      </c>
      <c r="C171" s="1" t="s">
        <v>142</v>
      </c>
      <c r="D171" s="1" t="n">
        <v>2015</v>
      </c>
      <c r="E171" s="1" t="s">
        <v>246</v>
      </c>
      <c r="F171" s="3" t="s">
        <v>219</v>
      </c>
      <c r="G171" s="1" t="n">
        <v>201</v>
      </c>
      <c r="H171" s="1" t="str">
        <f aca="false">IF((YEAR(F171)-D171)&lt;=11,"Avenirs",IF((YEAR(F171)-D171)&lt;=13,"Benjamins",IF((YEAR(F171)-D171)&lt;=18,"Juniors",IF((YEAR(F171)-D171)&lt;=25,"Seniors","Master C"&amp;ROUNDUP((YEAR(F171)-D171-25)/5,0)))))</f>
        <v>Avenirs</v>
      </c>
    </row>
    <row r="172" customFormat="false" ht="13.8" hidden="false" customHeight="false" outlineLevel="0" collapsed="false">
      <c r="A172" s="1" t="s">
        <v>150</v>
      </c>
      <c r="B172" s="1" t="s">
        <v>9</v>
      </c>
      <c r="C172" s="1" t="s">
        <v>144</v>
      </c>
      <c r="D172" s="1" t="n">
        <v>2015</v>
      </c>
      <c r="E172" s="1" t="s">
        <v>247</v>
      </c>
      <c r="F172" s="3" t="s">
        <v>219</v>
      </c>
      <c r="G172" s="1" t="n">
        <v>124</v>
      </c>
      <c r="H172" s="1" t="str">
        <f aca="false">IF((YEAR(F172)-D172)&lt;=11,"Avenirs",IF((YEAR(F172)-D172)&lt;=13,"Benjamins",IF((YEAR(F172)-D172)&lt;=18,"Juniors",IF((YEAR(F172)-D172)&lt;=25,"Seniors","Master C"&amp;ROUNDUP((YEAR(F172)-D172-25)/5,0)))))</f>
        <v>Avenirs</v>
      </c>
    </row>
    <row r="173" customFormat="false" ht="13.8" hidden="false" customHeight="false" outlineLevel="0" collapsed="false">
      <c r="A173" s="1" t="s">
        <v>248</v>
      </c>
      <c r="B173" s="1" t="s">
        <v>9</v>
      </c>
      <c r="C173" s="1" t="s">
        <v>127</v>
      </c>
      <c r="D173" s="1" t="n">
        <v>2012</v>
      </c>
      <c r="E173" s="1" t="s">
        <v>249</v>
      </c>
      <c r="F173" s="3" t="s">
        <v>219</v>
      </c>
      <c r="G173" s="1" t="n">
        <v>316</v>
      </c>
      <c r="H173" s="1" t="str">
        <f aca="false">IF((YEAR(F173)-D173)&lt;=11,"Avenirs",IF((YEAR(F173)-D173)&lt;=13,"Benjamins",IF((YEAR(F173)-D173)&lt;=18,"Juniors",IF((YEAR(F173)-D173)&lt;=25,"Seniors","Master C"&amp;ROUNDUP((YEAR(F173)-D173-25)/5,0)))))</f>
        <v>Juniors</v>
      </c>
    </row>
    <row r="174" customFormat="false" ht="13.8" hidden="false" customHeight="false" outlineLevel="0" collapsed="false">
      <c r="A174" s="1" t="s">
        <v>248</v>
      </c>
      <c r="B174" s="1" t="s">
        <v>9</v>
      </c>
      <c r="C174" s="1" t="s">
        <v>161</v>
      </c>
      <c r="D174" s="1" t="n">
        <v>2016</v>
      </c>
      <c r="E174" s="1" t="s">
        <v>250</v>
      </c>
      <c r="F174" s="3" t="s">
        <v>219</v>
      </c>
      <c r="G174" s="1" t="n">
        <v>1</v>
      </c>
      <c r="H174" s="1" t="str">
        <f aca="false">IF((YEAR(F174)-D174)&lt;=11,"Avenirs",IF((YEAR(F174)-D174)&lt;=13,"Benjamins",IF((YEAR(F174)-D174)&lt;=18,"Juniors",IF((YEAR(F174)-D174)&lt;=25,"Seniors","Master C"&amp;ROUNDUP((YEAR(F174)-D174-25)/5,0)))))</f>
        <v>Avenirs</v>
      </c>
    </row>
    <row r="175" customFormat="false" ht="13.8" hidden="false" customHeight="false" outlineLevel="0" collapsed="false">
      <c r="A175" s="1" t="s">
        <v>33</v>
      </c>
      <c r="B175" s="1" t="s">
        <v>9</v>
      </c>
      <c r="C175" s="1" t="s">
        <v>125</v>
      </c>
      <c r="D175" s="1" t="n">
        <v>2008</v>
      </c>
      <c r="E175" s="1" t="s">
        <v>251</v>
      </c>
      <c r="F175" s="3" t="s">
        <v>219</v>
      </c>
      <c r="G175" s="1" t="n">
        <v>425</v>
      </c>
      <c r="H175" s="1" t="str">
        <f aca="false">IF((YEAR(F175)-D175)&lt;=11,"Avenirs",IF((YEAR(F175)-D175)&lt;=13,"Benjamins",IF((YEAR(F175)-D175)&lt;=18,"Juniors",IF((YEAR(F175)-D175)&lt;=25,"Seniors","Master C"&amp;ROUNDUP((YEAR(F175)-D175-25)/5,0)))))</f>
        <v>Juniors</v>
      </c>
    </row>
    <row r="176" customFormat="false" ht="13.8" hidden="false" customHeight="false" outlineLevel="0" collapsed="false">
      <c r="A176" s="1" t="s">
        <v>35</v>
      </c>
      <c r="B176" s="1" t="s">
        <v>9</v>
      </c>
      <c r="C176" s="1" t="s">
        <v>10</v>
      </c>
      <c r="D176" s="1" t="n">
        <v>1983</v>
      </c>
      <c r="E176" s="1" t="s">
        <v>252</v>
      </c>
      <c r="F176" s="3" t="s">
        <v>253</v>
      </c>
      <c r="G176" s="1" t="n">
        <v>943</v>
      </c>
      <c r="H176" s="1" t="str">
        <f aca="false">IF((YEAR(F176)-D176)&lt;=11,"Avenirs",IF((YEAR(F176)-D176)&lt;=13,"Benjamins",IF((YEAR(F176)-D176)&lt;=18,"Juniors",IF((YEAR(F176)-D176)&lt;=25,"Seniors","Master C"&amp;ROUNDUP((YEAR(F176)-D176-25)/5,0)))))</f>
        <v>Master C4</v>
      </c>
    </row>
    <row r="177" customFormat="false" ht="13.8" hidden="false" customHeight="false" outlineLevel="0" collapsed="false">
      <c r="A177" s="1" t="s">
        <v>35</v>
      </c>
      <c r="B177" s="1" t="s">
        <v>9</v>
      </c>
      <c r="C177" s="1" t="s">
        <v>14</v>
      </c>
      <c r="D177" s="1" t="n">
        <v>1978</v>
      </c>
      <c r="E177" s="1" t="s">
        <v>254</v>
      </c>
      <c r="F177" s="3" t="s">
        <v>253</v>
      </c>
      <c r="G177" s="1" t="n">
        <v>835</v>
      </c>
      <c r="H177" s="1" t="str">
        <f aca="false">IF((YEAR(F177)-D177)&lt;=11,"Avenirs",IF((YEAR(F177)-D177)&lt;=13,"Benjamins",IF((YEAR(F177)-D177)&lt;=18,"Juniors",IF((YEAR(F177)-D177)&lt;=25,"Seniors","Master C"&amp;ROUNDUP((YEAR(F177)-D177-25)/5,0)))))</f>
        <v>Master C5</v>
      </c>
    </row>
    <row r="178" customFormat="false" ht="13.8" hidden="false" customHeight="false" outlineLevel="0" collapsed="false">
      <c r="A178" s="1" t="s">
        <v>35</v>
      </c>
      <c r="B178" s="1" t="s">
        <v>9</v>
      </c>
      <c r="C178" s="1" t="s">
        <v>12</v>
      </c>
      <c r="D178" s="1" t="n">
        <v>1996</v>
      </c>
      <c r="E178" s="1" t="s">
        <v>255</v>
      </c>
      <c r="F178" s="3" t="s">
        <v>253</v>
      </c>
      <c r="G178" s="1" t="n">
        <v>612</v>
      </c>
      <c r="H178" s="1" t="str">
        <f aca="false">IF((YEAR(F178)-D178)&lt;=11,"Avenirs",IF((YEAR(F178)-D178)&lt;=13,"Benjamins",IF((YEAR(F178)-D178)&lt;=18,"Juniors",IF((YEAR(F178)-D178)&lt;=25,"Seniors","Master C"&amp;ROUNDUP((YEAR(F178)-D178-25)/5,0)))))</f>
        <v>Master C1</v>
      </c>
    </row>
    <row r="179" customFormat="false" ht="13.8" hidden="false" customHeight="false" outlineLevel="0" collapsed="false">
      <c r="A179" s="1" t="s">
        <v>8</v>
      </c>
      <c r="B179" s="1" t="s">
        <v>9</v>
      </c>
      <c r="C179" s="1" t="s">
        <v>16</v>
      </c>
      <c r="D179" s="1" t="n">
        <v>1967</v>
      </c>
      <c r="E179" s="1" t="s">
        <v>256</v>
      </c>
      <c r="F179" s="3" t="s">
        <v>253</v>
      </c>
      <c r="G179" s="1" t="n">
        <v>655</v>
      </c>
      <c r="H179" s="1" t="str">
        <f aca="false">IF((YEAR(F179)-D179)&lt;=11,"Avenirs",IF((YEAR(F179)-D179)&lt;=13,"Benjamins",IF((YEAR(F179)-D179)&lt;=18,"Juniors",IF((YEAR(F179)-D179)&lt;=25,"Seniors","Master C"&amp;ROUNDUP((YEAR(F179)-D179-25)/5,0)))))</f>
        <v>Master C7</v>
      </c>
    </row>
    <row r="180" customFormat="false" ht="13.8" hidden="false" customHeight="false" outlineLevel="0" collapsed="false">
      <c r="A180" s="1" t="s">
        <v>8</v>
      </c>
      <c r="B180" s="1" t="s">
        <v>9</v>
      </c>
      <c r="C180" s="1" t="s">
        <v>20</v>
      </c>
      <c r="D180" s="1" t="n">
        <v>1979</v>
      </c>
      <c r="E180" s="1" t="s">
        <v>257</v>
      </c>
      <c r="F180" s="3" t="s">
        <v>253</v>
      </c>
      <c r="G180" s="1" t="n">
        <v>590</v>
      </c>
      <c r="H180" s="1" t="str">
        <f aca="false">IF((YEAR(F180)-D180)&lt;=11,"Avenirs",IF((YEAR(F180)-D180)&lt;=13,"Benjamins",IF((YEAR(F180)-D180)&lt;=18,"Juniors",IF((YEAR(F180)-D180)&lt;=25,"Seniors","Master C"&amp;ROUNDUP((YEAR(F180)-D180-25)/5,0)))))</f>
        <v>Master C5</v>
      </c>
    </row>
    <row r="181" customFormat="false" ht="13.8" hidden="false" customHeight="false" outlineLevel="0" collapsed="false">
      <c r="A181" s="1" t="s">
        <v>8</v>
      </c>
      <c r="B181" s="1" t="s">
        <v>9</v>
      </c>
      <c r="C181" s="1" t="s">
        <v>10</v>
      </c>
      <c r="D181" s="1" t="n">
        <v>1983</v>
      </c>
      <c r="E181" s="1" t="s">
        <v>258</v>
      </c>
      <c r="F181" s="3" t="s">
        <v>253</v>
      </c>
      <c r="G181" s="1" t="n">
        <v>766</v>
      </c>
      <c r="H181" s="1" t="str">
        <f aca="false">IF((YEAR(F181)-D181)&lt;=11,"Avenirs",IF((YEAR(F181)-D181)&lt;=13,"Benjamins",IF((YEAR(F181)-D181)&lt;=18,"Juniors",IF((YEAR(F181)-D181)&lt;=25,"Seniors","Master C"&amp;ROUNDUP((YEAR(F181)-D181-25)/5,0)))))</f>
        <v>Master C4</v>
      </c>
    </row>
    <row r="182" customFormat="false" ht="13.8" hidden="false" customHeight="false" outlineLevel="0" collapsed="false">
      <c r="A182" s="1" t="s">
        <v>8</v>
      </c>
      <c r="B182" s="1" t="s">
        <v>9</v>
      </c>
      <c r="C182" s="1" t="s">
        <v>12</v>
      </c>
      <c r="D182" s="1" t="n">
        <v>1996</v>
      </c>
      <c r="E182" s="1" t="s">
        <v>259</v>
      </c>
      <c r="F182" s="3" t="s">
        <v>253</v>
      </c>
      <c r="G182" s="1" t="n">
        <v>475</v>
      </c>
      <c r="H182" s="1" t="str">
        <f aca="false">IF((YEAR(F182)-D182)&lt;=11,"Avenirs",IF((YEAR(F182)-D182)&lt;=13,"Benjamins",IF((YEAR(F182)-D182)&lt;=18,"Juniors",IF((YEAR(F182)-D182)&lt;=25,"Seniors","Master C"&amp;ROUNDUP((YEAR(F182)-D182-25)/5,0)))))</f>
        <v>Master C1</v>
      </c>
    </row>
    <row r="183" customFormat="false" ht="13.8" hidden="false" customHeight="false" outlineLevel="0" collapsed="false">
      <c r="A183" s="1" t="s">
        <v>24</v>
      </c>
      <c r="B183" s="1" t="s">
        <v>9</v>
      </c>
      <c r="C183" s="1" t="s">
        <v>16</v>
      </c>
      <c r="D183" s="1" t="n">
        <v>1967</v>
      </c>
      <c r="E183" s="1" t="s">
        <v>260</v>
      </c>
      <c r="F183" s="3" t="s">
        <v>253</v>
      </c>
      <c r="G183" s="1" t="n">
        <v>484</v>
      </c>
      <c r="H183" s="1" t="str">
        <f aca="false">IF((YEAR(F183)-D183)&lt;=11,"Avenirs",IF((YEAR(F183)-D183)&lt;=13,"Benjamins",IF((YEAR(F183)-D183)&lt;=18,"Juniors",IF((YEAR(F183)-D183)&lt;=25,"Seniors","Master C"&amp;ROUNDUP((YEAR(F183)-D183-25)/5,0)))))</f>
        <v>Master C7</v>
      </c>
    </row>
    <row r="184" customFormat="false" ht="13.8" hidden="false" customHeight="false" outlineLevel="0" collapsed="false">
      <c r="A184" s="1" t="s">
        <v>24</v>
      </c>
      <c r="B184" s="1" t="s">
        <v>9</v>
      </c>
      <c r="C184" s="1" t="s">
        <v>26</v>
      </c>
      <c r="D184" s="1" t="n">
        <v>1973</v>
      </c>
      <c r="E184" s="1" t="s">
        <v>261</v>
      </c>
      <c r="F184" s="3" t="s">
        <v>253</v>
      </c>
      <c r="G184" s="1" t="n">
        <v>451</v>
      </c>
      <c r="H184" s="1" t="str">
        <f aca="false">IF((YEAR(F184)-D184)&lt;=11,"Avenirs",IF((YEAR(F184)-D184)&lt;=13,"Benjamins",IF((YEAR(F184)-D184)&lt;=18,"Juniors",IF((YEAR(F184)-D184)&lt;=25,"Seniors","Master C"&amp;ROUNDUP((YEAR(F184)-D184-25)/5,0)))))</f>
        <v>Master C6</v>
      </c>
    </row>
    <row r="185" customFormat="false" ht="13.8" hidden="false" customHeight="false" outlineLevel="0" collapsed="false">
      <c r="A185" s="1" t="s">
        <v>262</v>
      </c>
      <c r="B185" s="1" t="s">
        <v>9</v>
      </c>
      <c r="C185" s="1" t="s">
        <v>26</v>
      </c>
      <c r="D185" s="1" t="n">
        <v>1973</v>
      </c>
      <c r="E185" s="1" t="s">
        <v>263</v>
      </c>
      <c r="F185" s="3" t="s">
        <v>253</v>
      </c>
      <c r="G185" s="1" t="n">
        <v>432</v>
      </c>
      <c r="H185" s="1" t="str">
        <f aca="false">IF((YEAR(F185)-D185)&lt;=11,"Avenirs",IF((YEAR(F185)-D185)&lt;=13,"Benjamins",IF((YEAR(F185)-D185)&lt;=18,"Juniors",IF((YEAR(F185)-D185)&lt;=25,"Seniors","Master C"&amp;ROUNDUP((YEAR(F185)-D185-25)/5,0)))))</f>
        <v>Master C6</v>
      </c>
    </row>
    <row r="186" customFormat="false" ht="13.8" hidden="false" customHeight="false" outlineLevel="0" collapsed="false">
      <c r="A186" s="1" t="s">
        <v>248</v>
      </c>
      <c r="B186" s="1" t="s">
        <v>9</v>
      </c>
      <c r="C186" s="1" t="s">
        <v>18</v>
      </c>
      <c r="D186" s="1" t="n">
        <v>1993</v>
      </c>
      <c r="E186" s="1" t="s">
        <v>264</v>
      </c>
      <c r="F186" s="3" t="s">
        <v>253</v>
      </c>
      <c r="G186" s="1" t="n">
        <v>654</v>
      </c>
      <c r="H186" s="1" t="str">
        <f aca="false">IF((YEAR(F186)-D186)&lt;=11,"Avenirs",IF((YEAR(F186)-D186)&lt;=13,"Benjamins",IF((YEAR(F186)-D186)&lt;=18,"Juniors",IF((YEAR(F186)-D186)&lt;=25,"Seniors","Master C"&amp;ROUNDUP((YEAR(F186)-D186-25)/5,0)))))</f>
        <v>Master C2</v>
      </c>
    </row>
    <row r="187" customFormat="false" ht="13.8" hidden="false" customHeight="false" outlineLevel="0" collapsed="false">
      <c r="A187" s="1" t="s">
        <v>248</v>
      </c>
      <c r="B187" s="1" t="s">
        <v>9</v>
      </c>
      <c r="C187" s="1" t="s">
        <v>14</v>
      </c>
      <c r="D187" s="1" t="n">
        <v>1978</v>
      </c>
      <c r="E187" s="1" t="s">
        <v>265</v>
      </c>
      <c r="F187" s="3" t="s">
        <v>253</v>
      </c>
      <c r="G187" s="1" t="n">
        <v>697</v>
      </c>
      <c r="H187" s="1" t="str">
        <f aca="false">IF((YEAR(F187)-D187)&lt;=11,"Avenirs",IF((YEAR(F187)-D187)&lt;=13,"Benjamins",IF((YEAR(F187)-D187)&lt;=18,"Juniors",IF((YEAR(F187)-D187)&lt;=25,"Seniors","Master C"&amp;ROUNDUP((YEAR(F187)-D187-25)/5,0)))))</f>
        <v>Master C5</v>
      </c>
    </row>
    <row r="188" customFormat="false" ht="13.8" hidden="false" customHeight="false" outlineLevel="0" collapsed="false">
      <c r="A188" s="1" t="s">
        <v>248</v>
      </c>
      <c r="B188" s="1" t="s">
        <v>9</v>
      </c>
      <c r="C188" s="1" t="s">
        <v>12</v>
      </c>
      <c r="D188" s="1" t="n">
        <v>1996</v>
      </c>
      <c r="E188" s="1" t="s">
        <v>266</v>
      </c>
      <c r="F188" s="3" t="s">
        <v>253</v>
      </c>
      <c r="G188" s="1" t="n">
        <v>524</v>
      </c>
      <c r="H188" s="1" t="str">
        <f aca="false">IF((YEAR(F188)-D188)&lt;=11,"Avenirs",IF((YEAR(F188)-D188)&lt;=13,"Benjamins",IF((YEAR(F188)-D188)&lt;=18,"Juniors",IF((YEAR(F188)-D188)&lt;=25,"Seniors","Master C"&amp;ROUNDUP((YEAR(F188)-D188-25)/5,0)))))</f>
        <v>Master C1</v>
      </c>
    </row>
    <row r="189" customFormat="false" ht="13.8" hidden="false" customHeight="false" outlineLevel="0" collapsed="false">
      <c r="A189" s="1" t="s">
        <v>248</v>
      </c>
      <c r="B189" s="1" t="s">
        <v>9</v>
      </c>
      <c r="C189" s="1" t="s">
        <v>10</v>
      </c>
      <c r="D189" s="1" t="n">
        <v>1983</v>
      </c>
      <c r="E189" s="1" t="s">
        <v>267</v>
      </c>
      <c r="F189" s="3" t="s">
        <v>253</v>
      </c>
      <c r="G189" s="1" t="n">
        <v>696</v>
      </c>
      <c r="H189" s="1" t="str">
        <f aca="false">IF((YEAR(F189)-D189)&lt;=11,"Avenirs",IF((YEAR(F189)-D189)&lt;=13,"Benjamins",IF((YEAR(F189)-D189)&lt;=18,"Juniors",IF((YEAR(F189)-D189)&lt;=25,"Seniors","Master C"&amp;ROUNDUP((YEAR(F189)-D189-25)/5,0)))))</f>
        <v>Master C4</v>
      </c>
    </row>
    <row r="190" customFormat="false" ht="13.8" hidden="false" customHeight="false" outlineLevel="0" collapsed="false">
      <c r="A190" s="1" t="s">
        <v>29</v>
      </c>
      <c r="B190" s="1" t="s">
        <v>9</v>
      </c>
      <c r="C190" s="1" t="s">
        <v>18</v>
      </c>
      <c r="D190" s="1" t="n">
        <v>1993</v>
      </c>
      <c r="E190" s="1" t="s">
        <v>268</v>
      </c>
      <c r="F190" s="3" t="s">
        <v>253</v>
      </c>
      <c r="G190" s="1" t="n">
        <v>609</v>
      </c>
      <c r="H190" s="1" t="str">
        <f aca="false">IF((YEAR(F190)-D190)&lt;=11,"Avenirs",IF((YEAR(F190)-D190)&lt;=13,"Benjamins",IF((YEAR(F190)-D190)&lt;=18,"Juniors",IF((YEAR(F190)-D190)&lt;=25,"Seniors","Master C"&amp;ROUNDUP((YEAR(F190)-D190-25)/5,0)))))</f>
        <v>Master C2</v>
      </c>
    </row>
    <row r="191" customFormat="false" ht="13.8" hidden="false" customHeight="false" outlineLevel="0" collapsed="false">
      <c r="A191" s="1" t="s">
        <v>33</v>
      </c>
      <c r="B191" s="1" t="s">
        <v>9</v>
      </c>
      <c r="C191" s="1" t="s">
        <v>10</v>
      </c>
      <c r="D191" s="1" t="n">
        <v>1983</v>
      </c>
      <c r="E191" s="1" t="s">
        <v>269</v>
      </c>
      <c r="F191" s="3" t="s">
        <v>253</v>
      </c>
      <c r="G191" s="1" t="n">
        <v>733</v>
      </c>
      <c r="H191" s="1" t="str">
        <f aca="false">IF((YEAR(F191)-D191)&lt;=11,"Avenirs",IF((YEAR(F191)-D191)&lt;=13,"Benjamins",IF((YEAR(F191)-D191)&lt;=18,"Juniors",IF((YEAR(F191)-D191)&lt;=25,"Seniors","Master C"&amp;ROUNDUP((YEAR(F191)-D191-25)/5,0)))))</f>
        <v>Master C4</v>
      </c>
    </row>
    <row r="192" customFormat="false" ht="13.8" hidden="false" customHeight="false" outlineLevel="0" collapsed="false">
      <c r="A192" s="1" t="s">
        <v>270</v>
      </c>
      <c r="B192" s="1" t="s">
        <v>9</v>
      </c>
      <c r="C192" s="1" t="s">
        <v>18</v>
      </c>
      <c r="D192" s="1" t="n">
        <v>1993</v>
      </c>
      <c r="E192" s="1" t="s">
        <v>271</v>
      </c>
      <c r="F192" s="3" t="s">
        <v>253</v>
      </c>
      <c r="G192" s="1" t="n">
        <v>476</v>
      </c>
      <c r="H192" s="1" t="str">
        <f aca="false">IF((YEAR(F192)-D192)&lt;=11,"Avenirs",IF((YEAR(F192)-D192)&lt;=13,"Benjamins",IF((YEAR(F192)-D192)&lt;=18,"Juniors",IF((YEAR(F192)-D192)&lt;=25,"Seniors","Master C"&amp;ROUNDUP((YEAR(F192)-D192-25)/5,0)))))</f>
        <v>Master C2</v>
      </c>
    </row>
    <row r="193" customFormat="false" ht="13.8" hidden="false" customHeight="false" outlineLevel="0" collapsed="false">
      <c r="A193" s="1" t="s">
        <v>272</v>
      </c>
      <c r="B193" s="1" t="s">
        <v>9</v>
      </c>
      <c r="C193" s="1" t="s">
        <v>18</v>
      </c>
      <c r="D193" s="1" t="n">
        <v>1993</v>
      </c>
      <c r="E193" s="1" t="s">
        <v>273</v>
      </c>
      <c r="F193" s="3" t="s">
        <v>253</v>
      </c>
      <c r="G193" s="1" t="n">
        <v>512</v>
      </c>
      <c r="H193" s="1" t="str">
        <f aca="false">IF((YEAR(F193)-D193)&lt;=11,"Avenirs",IF((YEAR(F193)-D193)&lt;=13,"Benjamins",IF((YEAR(F193)-D193)&lt;=18,"Juniors",IF((YEAR(F193)-D193)&lt;=25,"Seniors","Master C"&amp;ROUNDUP((YEAR(F193)-D193-25)/5,0)))))</f>
        <v>Master C2</v>
      </c>
    </row>
    <row r="194" customFormat="false" ht="13.8" hidden="false" customHeight="false" outlineLevel="0" collapsed="false">
      <c r="A194" s="1" t="s">
        <v>272</v>
      </c>
      <c r="B194" s="1" t="s">
        <v>9</v>
      </c>
      <c r="C194" s="1" t="s">
        <v>12</v>
      </c>
      <c r="D194" s="1" t="n">
        <v>1996</v>
      </c>
      <c r="E194" s="1" t="s">
        <v>274</v>
      </c>
      <c r="F194" s="3" t="s">
        <v>253</v>
      </c>
      <c r="G194" s="1" t="n">
        <v>358</v>
      </c>
      <c r="H194" s="1" t="str">
        <f aca="false">IF((YEAR(F194)-D194)&lt;=11,"Avenirs",IF((YEAR(F194)-D194)&lt;=13,"Benjamins",IF((YEAR(F194)-D194)&lt;=18,"Juniors",IF((YEAR(F194)-D194)&lt;=25,"Seniors","Master C"&amp;ROUNDUP((YEAR(F194)-D194-25)/5,0)))))</f>
        <v>Master C1</v>
      </c>
    </row>
    <row r="195" customFormat="false" ht="13.8" hidden="false" customHeight="false" outlineLevel="0" collapsed="false">
      <c r="A195" s="0" t="s">
        <v>190</v>
      </c>
      <c r="B195" s="1" t="s">
        <v>47</v>
      </c>
      <c r="C195" s="0" t="s">
        <v>66</v>
      </c>
      <c r="D195" s="0" t="n">
        <v>2012</v>
      </c>
      <c r="E195" s="0" t="s">
        <v>275</v>
      </c>
      <c r="F195" s="4" t="s">
        <v>276</v>
      </c>
      <c r="G195" s="0" t="n">
        <v>533</v>
      </c>
      <c r="H195" s="1" t="str">
        <f aca="false">IF((YEAR(F195)-D195)&lt;=11,"Avenirs",IF((YEAR(F195)-D195)&lt;=13,"Benjamins",IF((YEAR(F195)-D195)&lt;=18,"Juniors",IF((YEAR(F195)-D195)&lt;=25,"Seniors","Master C"&amp;ROUNDUP((YEAR(F195)-D195-25)/5,0)))))</f>
        <v>Juniors</v>
      </c>
    </row>
    <row r="196" customFormat="false" ht="13.8" hidden="false" customHeight="false" outlineLevel="0" collapsed="false">
      <c r="A196" s="0" t="s">
        <v>190</v>
      </c>
      <c r="B196" s="1" t="s">
        <v>47</v>
      </c>
      <c r="C196" s="0" t="s">
        <v>68</v>
      </c>
      <c r="D196" s="0" t="n">
        <v>2013</v>
      </c>
      <c r="E196" s="0" t="s">
        <v>277</v>
      </c>
      <c r="F196" s="4" t="s">
        <v>276</v>
      </c>
      <c r="G196" s="0" t="n">
        <v>485</v>
      </c>
      <c r="H196" s="1" t="str">
        <f aca="false">IF((YEAR(F196)-D196)&lt;=11,"Avenirs",IF((YEAR(F196)-D196)&lt;=13,"Benjamins",IF((YEAR(F196)-D196)&lt;=18,"Juniors",IF((YEAR(F196)-D196)&lt;=25,"Seniors","Master C"&amp;ROUNDUP((YEAR(F196)-D196-25)/5,0)))))</f>
        <v>Benjamins</v>
      </c>
    </row>
    <row r="197" customFormat="false" ht="13.8" hidden="false" customHeight="false" outlineLevel="0" collapsed="false">
      <c r="A197" s="0" t="s">
        <v>131</v>
      </c>
      <c r="B197" s="1" t="s">
        <v>47</v>
      </c>
      <c r="C197" s="0" t="s">
        <v>68</v>
      </c>
      <c r="D197" s="0" t="n">
        <v>2013</v>
      </c>
      <c r="E197" s="0" t="s">
        <v>278</v>
      </c>
      <c r="F197" s="4" t="s">
        <v>276</v>
      </c>
      <c r="G197" s="0" t="n">
        <v>414</v>
      </c>
      <c r="H197" s="1" t="str">
        <f aca="false">IF((YEAR(F197)-D197)&lt;=11,"Avenirs",IF((YEAR(F197)-D197)&lt;=13,"Benjamins",IF((YEAR(F197)-D197)&lt;=18,"Juniors",IF((YEAR(F197)-D197)&lt;=25,"Seniors","Master C"&amp;ROUNDUP((YEAR(F197)-D197-25)/5,0)))))</f>
        <v>Benjamins</v>
      </c>
    </row>
    <row r="198" customFormat="false" ht="13.8" hidden="false" customHeight="false" outlineLevel="0" collapsed="false">
      <c r="A198" s="0" t="s">
        <v>81</v>
      </c>
      <c r="B198" s="1" t="s">
        <v>47</v>
      </c>
      <c r="C198" s="0" t="s">
        <v>72</v>
      </c>
      <c r="D198" s="0" t="n">
        <v>2015</v>
      </c>
      <c r="E198" s="0" t="s">
        <v>279</v>
      </c>
      <c r="F198" s="4" t="s">
        <v>276</v>
      </c>
      <c r="G198" s="0" t="n">
        <v>409</v>
      </c>
      <c r="H198" s="1" t="str">
        <f aca="false">IF((YEAR(F198)-D198)&lt;=11,"Avenirs",IF((YEAR(F198)-D198)&lt;=13,"Benjamins",IF((YEAR(F198)-D198)&lt;=18,"Juniors",IF((YEAR(F198)-D198)&lt;=25,"Seniors","Master C"&amp;ROUNDUP((YEAR(F198)-D198-25)/5,0)))))</f>
        <v>Avenirs</v>
      </c>
    </row>
    <row r="199" customFormat="false" ht="13.8" hidden="false" customHeight="false" outlineLevel="0" collapsed="false">
      <c r="A199" s="0" t="s">
        <v>81</v>
      </c>
      <c r="B199" s="1" t="s">
        <v>47</v>
      </c>
      <c r="C199" s="0" t="s">
        <v>70</v>
      </c>
      <c r="D199" s="0" t="n">
        <v>2014</v>
      </c>
      <c r="E199" s="0" t="s">
        <v>280</v>
      </c>
      <c r="F199" s="4" t="s">
        <v>276</v>
      </c>
      <c r="G199" s="0" t="n">
        <v>249</v>
      </c>
      <c r="H199" s="1" t="str">
        <f aca="false">IF((YEAR(F199)-D199)&lt;=11,"Avenirs",IF((YEAR(F199)-D199)&lt;=13,"Benjamins",IF((YEAR(F199)-D199)&lt;=18,"Juniors",IF((YEAR(F199)-D199)&lt;=25,"Seniors","Master C"&amp;ROUNDUP((YEAR(F199)-D199-25)/5,0)))))</f>
        <v>Benjamins</v>
      </c>
    </row>
    <row r="200" customFormat="false" ht="13.8" hidden="false" customHeight="false" outlineLevel="0" collapsed="false">
      <c r="A200" s="0" t="s">
        <v>110</v>
      </c>
      <c r="B200" s="1" t="s">
        <v>47</v>
      </c>
      <c r="C200" s="0" t="s">
        <v>281</v>
      </c>
      <c r="D200" s="0" t="n">
        <v>2012</v>
      </c>
      <c r="E200" s="0" t="s">
        <v>282</v>
      </c>
      <c r="F200" s="4" t="s">
        <v>276</v>
      </c>
      <c r="G200" s="0" t="n">
        <v>441</v>
      </c>
      <c r="H200" s="1" t="str">
        <f aca="false">IF((YEAR(F200)-D200)&lt;=11,"Avenirs",IF((YEAR(F200)-D200)&lt;=13,"Benjamins",IF((YEAR(F200)-D200)&lt;=18,"Juniors",IF((YEAR(F200)-D200)&lt;=25,"Seniors","Master C"&amp;ROUNDUP((YEAR(F200)-D200-25)/5,0)))))</f>
        <v>Juniors</v>
      </c>
    </row>
    <row r="201" customFormat="false" ht="13.8" hidden="false" customHeight="false" outlineLevel="0" collapsed="false">
      <c r="A201" s="0" t="s">
        <v>110</v>
      </c>
      <c r="B201" s="1" t="s">
        <v>47</v>
      </c>
      <c r="C201" s="0" t="s">
        <v>96</v>
      </c>
      <c r="D201" s="0" t="n">
        <v>2010</v>
      </c>
      <c r="E201" s="0" t="s">
        <v>283</v>
      </c>
      <c r="F201" s="4" t="s">
        <v>276</v>
      </c>
      <c r="G201" s="0" t="n">
        <v>285</v>
      </c>
      <c r="H201" s="1" t="str">
        <f aca="false">IF((YEAR(F201)-D201)&lt;=11,"Avenirs",IF((YEAR(F201)-D201)&lt;=13,"Benjamins",IF((YEAR(F201)-D201)&lt;=18,"Juniors",IF((YEAR(F201)-D201)&lt;=25,"Seniors","Master C"&amp;ROUNDUP((YEAR(F201)-D201-25)/5,0)))))</f>
        <v>Juniors</v>
      </c>
    </row>
    <row r="202" customFormat="false" ht="13.8" hidden="false" customHeight="false" outlineLevel="0" collapsed="false">
      <c r="A202" s="0" t="s">
        <v>110</v>
      </c>
      <c r="B202" s="1" t="s">
        <v>47</v>
      </c>
      <c r="C202" s="0" t="s">
        <v>155</v>
      </c>
      <c r="D202" s="0" t="n">
        <v>2016</v>
      </c>
      <c r="E202" s="0" t="s">
        <v>284</v>
      </c>
      <c r="F202" s="4" t="s">
        <v>276</v>
      </c>
      <c r="G202" s="0" t="n">
        <v>193</v>
      </c>
      <c r="H202" s="1" t="str">
        <f aca="false">IF((YEAR(F202)-D202)&lt;=11,"Avenirs",IF((YEAR(F202)-D202)&lt;=13,"Benjamins",IF((YEAR(F202)-D202)&lt;=18,"Juniors",IF((YEAR(F202)-D202)&lt;=25,"Seniors","Master C"&amp;ROUNDUP((YEAR(F202)-D202-25)/5,0)))))</f>
        <v>Avenirs</v>
      </c>
    </row>
    <row r="203" customFormat="false" ht="13.8" hidden="false" customHeight="false" outlineLevel="0" collapsed="false">
      <c r="A203" s="0" t="s">
        <v>46</v>
      </c>
      <c r="B203" s="1" t="s">
        <v>47</v>
      </c>
      <c r="C203" s="0" t="s">
        <v>66</v>
      </c>
      <c r="D203" s="0" t="n">
        <v>2012</v>
      </c>
      <c r="E203" s="0" t="s">
        <v>285</v>
      </c>
      <c r="F203" s="4" t="s">
        <v>276</v>
      </c>
      <c r="G203" s="0" t="n">
        <v>529</v>
      </c>
      <c r="H203" s="1" t="str">
        <f aca="false">IF((YEAR(F203)-D203)&lt;=11,"Avenirs",IF((YEAR(F203)-D203)&lt;=13,"Benjamins",IF((YEAR(F203)-D203)&lt;=18,"Juniors",IF((YEAR(F203)-D203)&lt;=25,"Seniors","Master C"&amp;ROUNDUP((YEAR(F203)-D203-25)/5,0)))))</f>
        <v>Juniors</v>
      </c>
    </row>
    <row r="204" customFormat="false" ht="13.8" hidden="false" customHeight="false" outlineLevel="0" collapsed="false">
      <c r="A204" s="0" t="s">
        <v>46</v>
      </c>
      <c r="B204" s="1" t="s">
        <v>47</v>
      </c>
      <c r="C204" s="0" t="s">
        <v>281</v>
      </c>
      <c r="D204" s="0" t="n">
        <v>2012</v>
      </c>
      <c r="E204" s="0" t="s">
        <v>286</v>
      </c>
      <c r="F204" s="4" t="s">
        <v>276</v>
      </c>
      <c r="G204" s="0" t="n">
        <v>417</v>
      </c>
      <c r="H204" s="1" t="str">
        <f aca="false">IF((YEAR(F204)-D204)&lt;=11,"Avenirs",IF((YEAR(F204)-D204)&lt;=13,"Benjamins",IF((YEAR(F204)-D204)&lt;=18,"Juniors",IF((YEAR(F204)-D204)&lt;=25,"Seniors","Master C"&amp;ROUNDUP((YEAR(F204)-D204-25)/5,0)))))</f>
        <v>Juniors</v>
      </c>
    </row>
    <row r="205" customFormat="false" ht="13.8" hidden="false" customHeight="false" outlineLevel="0" collapsed="false">
      <c r="A205" s="0" t="s">
        <v>46</v>
      </c>
      <c r="B205" s="1" t="s">
        <v>47</v>
      </c>
      <c r="C205" s="0" t="s">
        <v>72</v>
      </c>
      <c r="D205" s="0" t="n">
        <v>2015</v>
      </c>
      <c r="E205" s="0" t="s">
        <v>287</v>
      </c>
      <c r="F205" s="4" t="s">
        <v>276</v>
      </c>
      <c r="G205" s="0" t="n">
        <v>306</v>
      </c>
      <c r="H205" s="1" t="str">
        <f aca="false">IF((YEAR(F205)-D205)&lt;=11,"Avenirs",IF((YEAR(F205)-D205)&lt;=13,"Benjamins",IF((YEAR(F205)-D205)&lt;=18,"Juniors",IF((YEAR(F205)-D205)&lt;=25,"Seniors","Master C"&amp;ROUNDUP((YEAR(F205)-D205-25)/5,0)))))</f>
        <v>Avenirs</v>
      </c>
    </row>
    <row r="206" customFormat="false" ht="13.8" hidden="false" customHeight="false" outlineLevel="0" collapsed="false">
      <c r="A206" s="0" t="s">
        <v>46</v>
      </c>
      <c r="B206" s="1" t="s">
        <v>47</v>
      </c>
      <c r="C206" s="0" t="s">
        <v>70</v>
      </c>
      <c r="D206" s="0" t="n">
        <v>2014</v>
      </c>
      <c r="E206" s="0" t="s">
        <v>288</v>
      </c>
      <c r="F206" s="4" t="s">
        <v>276</v>
      </c>
      <c r="G206" s="0" t="n">
        <v>302</v>
      </c>
      <c r="H206" s="1" t="str">
        <f aca="false">IF((YEAR(F206)-D206)&lt;=11,"Avenirs",IF((YEAR(F206)-D206)&lt;=13,"Benjamins",IF((YEAR(F206)-D206)&lt;=18,"Juniors",IF((YEAR(F206)-D206)&lt;=25,"Seniors","Master C"&amp;ROUNDUP((YEAR(F206)-D206-25)/5,0)))))</f>
        <v>Benjamins</v>
      </c>
    </row>
    <row r="207" customFormat="false" ht="13.8" hidden="false" customHeight="false" outlineLevel="0" collapsed="false">
      <c r="A207" s="0" t="s">
        <v>46</v>
      </c>
      <c r="B207" s="1" t="s">
        <v>47</v>
      </c>
      <c r="C207" s="0" t="s">
        <v>155</v>
      </c>
      <c r="D207" s="0" t="n">
        <v>2016</v>
      </c>
      <c r="E207" s="0" t="s">
        <v>289</v>
      </c>
      <c r="F207" s="4" t="s">
        <v>276</v>
      </c>
      <c r="G207" s="0" t="n">
        <v>245</v>
      </c>
      <c r="H207" s="1" t="str">
        <f aca="false">IF((YEAR(F207)-D207)&lt;=11,"Avenirs",IF((YEAR(F207)-D207)&lt;=13,"Benjamins",IF((YEAR(F207)-D207)&lt;=18,"Juniors",IF((YEAR(F207)-D207)&lt;=25,"Seniors","Master C"&amp;ROUNDUP((YEAR(F207)-D207-25)/5,0)))))</f>
        <v>Avenirs</v>
      </c>
    </row>
    <row r="208" customFormat="false" ht="13.8" hidden="false" customHeight="false" outlineLevel="0" collapsed="false">
      <c r="A208" s="0" t="s">
        <v>74</v>
      </c>
      <c r="B208" s="1" t="s">
        <v>47</v>
      </c>
      <c r="C208" s="0" t="s">
        <v>96</v>
      </c>
      <c r="D208" s="0" t="n">
        <v>2010</v>
      </c>
      <c r="E208" s="0" t="s">
        <v>290</v>
      </c>
      <c r="F208" s="4" t="s">
        <v>276</v>
      </c>
      <c r="G208" s="0" t="n">
        <v>209</v>
      </c>
      <c r="H208" s="1" t="str">
        <f aca="false">IF((YEAR(F208)-D208)&lt;=11,"Avenirs",IF((YEAR(F208)-D208)&lt;=13,"Benjamins",IF((YEAR(F208)-D208)&lt;=18,"Juniors",IF((YEAR(F208)-D208)&lt;=25,"Seniors","Master C"&amp;ROUNDUP((YEAR(F208)-D208-25)/5,0)))))</f>
        <v>Juniors</v>
      </c>
    </row>
    <row r="209" customFormat="false" ht="13.8" hidden="false" customHeight="false" outlineLevel="0" collapsed="false">
      <c r="A209" s="0" t="s">
        <v>270</v>
      </c>
      <c r="B209" s="1" t="s">
        <v>9</v>
      </c>
      <c r="C209" s="0" t="s">
        <v>125</v>
      </c>
      <c r="D209" s="0" t="n">
        <v>2008</v>
      </c>
      <c r="E209" s="0" t="s">
        <v>291</v>
      </c>
      <c r="F209" s="4" t="s">
        <v>276</v>
      </c>
      <c r="G209" s="0" t="n">
        <v>570</v>
      </c>
      <c r="H209" s="1" t="str">
        <f aca="false">IF((YEAR(F209)-D209)&lt;=11,"Avenirs",IF((YEAR(F209)-D209)&lt;=13,"Benjamins",IF((YEAR(F209)-D209)&lt;=18,"Juniors",IF((YEAR(F209)-D209)&lt;=25,"Seniors","Master C"&amp;ROUNDUP((YEAR(F209)-D209-25)/5,0)))))</f>
        <v>Juniors</v>
      </c>
    </row>
    <row r="210" customFormat="false" ht="13.8" hidden="false" customHeight="false" outlineLevel="0" collapsed="false">
      <c r="A210" s="0" t="s">
        <v>248</v>
      </c>
      <c r="B210" s="1" t="s">
        <v>9</v>
      </c>
      <c r="C210" s="0" t="s">
        <v>127</v>
      </c>
      <c r="D210" s="0" t="n">
        <v>2012</v>
      </c>
      <c r="E210" s="0" t="s">
        <v>292</v>
      </c>
      <c r="F210" s="4" t="s">
        <v>276</v>
      </c>
      <c r="G210" s="0" t="n">
        <v>467</v>
      </c>
      <c r="H210" s="1" t="str">
        <f aca="false">IF((YEAR(F210)-D210)&lt;=11,"Avenirs",IF((YEAR(F210)-D210)&lt;=13,"Benjamins",IF((YEAR(F210)-D210)&lt;=18,"Juniors",IF((YEAR(F210)-D210)&lt;=25,"Seniors","Master C"&amp;ROUNDUP((YEAR(F210)-D210-25)/5,0)))))</f>
        <v>Juniors</v>
      </c>
    </row>
    <row r="211" customFormat="false" ht="13.8" hidden="false" customHeight="false" outlineLevel="0" collapsed="false">
      <c r="A211" s="0" t="s">
        <v>248</v>
      </c>
      <c r="B211" s="1" t="s">
        <v>9</v>
      </c>
      <c r="C211" s="0" t="s">
        <v>161</v>
      </c>
      <c r="D211" s="0" t="n">
        <v>2016</v>
      </c>
      <c r="E211" s="0" t="s">
        <v>293</v>
      </c>
      <c r="F211" s="4" t="s">
        <v>276</v>
      </c>
      <c r="G211" s="0" t="n">
        <v>1</v>
      </c>
      <c r="H211" s="1" t="str">
        <f aca="false">IF((YEAR(F211)-D211)&lt;=11,"Avenirs",IF((YEAR(F211)-D211)&lt;=13,"Benjamins",IF((YEAR(F211)-D211)&lt;=18,"Juniors",IF((YEAR(F211)-D211)&lt;=25,"Seniors","Master C"&amp;ROUNDUP((YEAR(F211)-D211-25)/5,0)))))</f>
        <v>Avenirs</v>
      </c>
    </row>
    <row r="212" customFormat="false" ht="13.8" hidden="false" customHeight="false" outlineLevel="0" collapsed="false">
      <c r="A212" s="0" t="s">
        <v>150</v>
      </c>
      <c r="B212" s="1" t="s">
        <v>9</v>
      </c>
      <c r="C212" s="0" t="s">
        <v>144</v>
      </c>
      <c r="D212" s="0" t="n">
        <v>2015</v>
      </c>
      <c r="E212" s="0" t="s">
        <v>86</v>
      </c>
      <c r="F212" s="4" t="s">
        <v>276</v>
      </c>
      <c r="G212" s="0" t="n">
        <v>129</v>
      </c>
      <c r="H212" s="1" t="str">
        <f aca="false">IF((YEAR(F212)-D212)&lt;=11,"Avenirs",IF((YEAR(F212)-D212)&lt;=13,"Benjamins",IF((YEAR(F212)-D212)&lt;=18,"Juniors",IF((YEAR(F212)-D212)&lt;=25,"Seniors","Master C"&amp;ROUNDUP((YEAR(F212)-D212-25)/5,0)))))</f>
        <v>Avenirs</v>
      </c>
    </row>
    <row r="213" customFormat="false" ht="13.8" hidden="false" customHeight="false" outlineLevel="0" collapsed="false">
      <c r="A213" s="0" t="s">
        <v>150</v>
      </c>
      <c r="B213" s="1" t="s">
        <v>9</v>
      </c>
      <c r="C213" s="0" t="s">
        <v>142</v>
      </c>
      <c r="D213" s="0" t="n">
        <v>2015</v>
      </c>
      <c r="E213" s="0" t="s">
        <v>294</v>
      </c>
      <c r="F213" s="4" t="s">
        <v>276</v>
      </c>
      <c r="G213" s="0" t="n">
        <v>112</v>
      </c>
      <c r="H213" s="1" t="str">
        <f aca="false">IF((YEAR(F213)-D213)&lt;=11,"Avenirs",IF((YEAR(F213)-D213)&lt;=13,"Benjamins",IF((YEAR(F213)-D213)&lt;=18,"Juniors",IF((YEAR(F213)-D213)&lt;=25,"Seniors","Master C"&amp;ROUNDUP((YEAR(F213)-D213-25)/5,0)))))</f>
        <v>Avenirs</v>
      </c>
    </row>
    <row r="214" customFormat="false" ht="13.8" hidden="false" customHeight="false" outlineLevel="0" collapsed="false">
      <c r="A214" s="0" t="s">
        <v>35</v>
      </c>
      <c r="B214" s="1" t="s">
        <v>9</v>
      </c>
      <c r="C214" s="0" t="s">
        <v>125</v>
      </c>
      <c r="D214" s="0" t="n">
        <v>2008</v>
      </c>
      <c r="E214" s="0" t="s">
        <v>295</v>
      </c>
      <c r="F214" s="4" t="s">
        <v>276</v>
      </c>
      <c r="G214" s="0" t="n">
        <v>823</v>
      </c>
      <c r="H214" s="1" t="str">
        <f aca="false">IF((YEAR(F214)-D214)&lt;=11,"Avenirs",IF((YEAR(F214)-D214)&lt;=13,"Benjamins",IF((YEAR(F214)-D214)&lt;=18,"Juniors",IF((YEAR(F214)-D214)&lt;=25,"Seniors","Master C"&amp;ROUNDUP((YEAR(F214)-D214-25)/5,0)))))</f>
        <v>Juniors</v>
      </c>
    </row>
    <row r="215" customFormat="false" ht="13.8" hidden="false" customHeight="false" outlineLevel="0" collapsed="false">
      <c r="A215" s="0" t="s">
        <v>35</v>
      </c>
      <c r="B215" s="1" t="s">
        <v>9</v>
      </c>
      <c r="C215" s="0" t="s">
        <v>127</v>
      </c>
      <c r="D215" s="0" t="n">
        <v>2012</v>
      </c>
      <c r="E215" s="0" t="s">
        <v>296</v>
      </c>
      <c r="F215" s="4" t="s">
        <v>276</v>
      </c>
      <c r="G215" s="0" t="n">
        <v>573</v>
      </c>
      <c r="H215" s="1" t="str">
        <f aca="false">IF((YEAR(F215)-D215)&lt;=11,"Avenirs",IF((YEAR(F215)-D215)&lt;=13,"Benjamins",IF((YEAR(F215)-D215)&lt;=18,"Juniors",IF((YEAR(F215)-D215)&lt;=25,"Seniors","Master C"&amp;ROUNDUP((YEAR(F215)-D215-25)/5,0)))))</f>
        <v>Juniors</v>
      </c>
    </row>
    <row r="216" customFormat="false" ht="13.8" hidden="false" customHeight="false" outlineLevel="0" collapsed="false">
      <c r="A216" s="0" t="s">
        <v>35</v>
      </c>
      <c r="B216" s="1" t="s">
        <v>9</v>
      </c>
      <c r="C216" s="0" t="s">
        <v>142</v>
      </c>
      <c r="D216" s="0" t="n">
        <v>2015</v>
      </c>
      <c r="E216" s="0" t="s">
        <v>297</v>
      </c>
      <c r="F216" s="4" t="s">
        <v>276</v>
      </c>
      <c r="G216" s="0" t="n">
        <v>317</v>
      </c>
      <c r="H216" s="1" t="str">
        <f aca="false">IF((YEAR(F216)-D216)&lt;=11,"Avenirs",IF((YEAR(F216)-D216)&lt;=13,"Benjamins",IF((YEAR(F216)-D216)&lt;=18,"Juniors",IF((YEAR(F216)-D216)&lt;=25,"Seniors","Master C"&amp;ROUNDUP((YEAR(F216)-D216-25)/5,0)))))</f>
        <v>Avenirs</v>
      </c>
    </row>
    <row r="217" customFormat="false" ht="13.8" hidden="false" customHeight="false" outlineLevel="0" collapsed="false">
      <c r="A217" s="0" t="s">
        <v>35</v>
      </c>
      <c r="B217" s="1" t="s">
        <v>9</v>
      </c>
      <c r="C217" s="0" t="s">
        <v>144</v>
      </c>
      <c r="D217" s="0" t="n">
        <v>2015</v>
      </c>
      <c r="E217" s="0" t="s">
        <v>298</v>
      </c>
      <c r="F217" s="4" t="s">
        <v>276</v>
      </c>
      <c r="G217" s="0" t="n">
        <v>162</v>
      </c>
      <c r="H217" s="1" t="str">
        <f aca="false">IF((YEAR(F217)-D217)&lt;=11,"Avenirs",IF((YEAR(F217)-D217)&lt;=13,"Benjamins",IF((YEAR(F217)-D217)&lt;=18,"Juniors",IF((YEAR(F217)-D217)&lt;=25,"Seniors","Master C"&amp;ROUNDUP((YEAR(F217)-D217-25)/5,0)))))</f>
        <v>Avenirs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3.476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299</v>
      </c>
      <c r="D1" s="1" t="s">
        <v>300</v>
      </c>
      <c r="E1" s="1" t="s">
        <v>4</v>
      </c>
      <c r="F1" s="1" t="s">
        <v>301</v>
      </c>
      <c r="G1" s="1" t="s">
        <v>302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>
      <c r="J20" s="3"/>
    </row>
    <row r="21" customFormat="false" ht="13.8" hidden="false" customHeight="false" outlineLevel="0" collapsed="false">
      <c r="J21" s="3"/>
    </row>
    <row r="22" customFormat="false" ht="13.8" hidden="false" customHeight="false" outlineLevel="0" collapsed="false">
      <c r="J22" s="3"/>
    </row>
    <row r="23" customFormat="false" ht="13.8" hidden="false" customHeight="false" outlineLevel="0" collapsed="false">
      <c r="J23" s="3"/>
    </row>
    <row r="24" customFormat="false" ht="13.8" hidden="false" customHeight="false" outlineLevel="0" collapsed="false">
      <c r="J24" s="3"/>
    </row>
    <row r="25" customFormat="false" ht="13.8" hidden="false" customHeight="false" outlineLevel="0" collapsed="false">
      <c r="J25" s="3"/>
    </row>
    <row r="26" customFormat="false" ht="13.8" hidden="false" customHeight="false" outlineLevel="0" collapsed="false">
      <c r="J26" s="3"/>
    </row>
    <row r="27" customFormat="false" ht="13.8" hidden="false" customHeight="false" outlineLevel="0" collapsed="false">
      <c r="J27" s="3"/>
    </row>
    <row r="28" customFormat="false" ht="13.8" hidden="false" customHeight="false" outlineLevel="0" collapsed="false">
      <c r="J28" s="3"/>
    </row>
    <row r="29" customFormat="false" ht="13.8" hidden="false" customHeight="false" outlineLevel="0" collapsed="false">
      <c r="J29" s="3"/>
    </row>
    <row r="30" customFormat="false" ht="13.8" hidden="false" customHeight="false" outlineLevel="0" collapsed="false">
      <c r="J30" s="3"/>
    </row>
    <row r="31" customFormat="false" ht="13.8" hidden="false" customHeight="false" outlineLevel="0" collapsed="false">
      <c r="J31" s="3"/>
    </row>
    <row r="32" customFormat="false" ht="13.8" hidden="false" customHeight="false" outlineLevel="0" collapsed="false">
      <c r="J32" s="3"/>
    </row>
    <row r="33" customFormat="false" ht="13.8" hidden="false" customHeight="false" outlineLevel="0" collapsed="false">
      <c r="J33" s="3"/>
    </row>
    <row r="34" customFormat="false" ht="13.8" hidden="false" customHeight="false" outlineLevel="0" collapsed="false">
      <c r="J34" s="3"/>
    </row>
    <row r="35" customFormat="false" ht="13.8" hidden="false" customHeight="false" outlineLevel="0" collapsed="false">
      <c r="J35" s="3"/>
    </row>
    <row r="36" customFormat="false" ht="13.8" hidden="false" customHeight="false" outlineLevel="0" collapsed="false">
      <c r="J36" s="3"/>
    </row>
    <row r="37" customFormat="false" ht="13.8" hidden="false" customHeight="false" outlineLevel="0" collapsed="false">
      <c r="J37" s="3"/>
    </row>
    <row r="38" customFormat="false" ht="13.8" hidden="false" customHeight="false" outlineLevel="0" collapsed="false">
      <c r="J38" s="3"/>
    </row>
    <row r="39" customFormat="false" ht="13.8" hidden="false" customHeight="false" outlineLevel="0" collapsed="false">
      <c r="J39" s="3"/>
    </row>
    <row r="40" customFormat="false" ht="13.8" hidden="false" customHeight="false" outlineLevel="0" collapsed="false">
      <c r="J40" s="3"/>
    </row>
    <row r="41" customFormat="false" ht="13.8" hidden="false" customHeight="false" outlineLevel="0" collapsed="false">
      <c r="J41" s="3"/>
    </row>
    <row r="42" customFormat="false" ht="13.8" hidden="false" customHeight="false" outlineLevel="0" collapsed="false">
      <c r="J42" s="3"/>
    </row>
    <row r="43" customFormat="false" ht="13.8" hidden="false" customHeight="false" outlineLevel="0" collapsed="false">
      <c r="J43" s="3"/>
    </row>
    <row r="44" customFormat="false" ht="13.8" hidden="false" customHeight="false" outlineLevel="0" collapsed="false">
      <c r="J44" s="3"/>
    </row>
    <row r="45" customFormat="false" ht="13.8" hidden="false" customHeight="false" outlineLevel="0" collapsed="false">
      <c r="J45" s="3"/>
    </row>
    <row r="46" customFormat="false" ht="13.8" hidden="false" customHeight="false" outlineLevel="0" collapsed="false">
      <c r="J46" s="3"/>
    </row>
    <row r="47" customFormat="false" ht="13.8" hidden="false" customHeight="false" outlineLevel="0" collapsed="false">
      <c r="J47" s="3"/>
    </row>
    <row r="48" customFormat="false" ht="13.8" hidden="false" customHeight="false" outlineLevel="0" collapsed="false">
      <c r="J48" s="3"/>
    </row>
    <row r="49" customFormat="false" ht="13.8" hidden="false" customHeight="false" outlineLevel="0" collapsed="false">
      <c r="J49" s="3"/>
    </row>
    <row r="50" customFormat="false" ht="13.8" hidden="false" customHeight="false" outlineLevel="0" collapsed="false">
      <c r="J50" s="3"/>
    </row>
    <row r="51" customFormat="false" ht="13.8" hidden="false" customHeight="false" outlineLevel="0" collapsed="false">
      <c r="J51" s="3"/>
    </row>
    <row r="52" customFormat="false" ht="13.8" hidden="false" customHeight="false" outlineLevel="0" collapsed="false">
      <c r="J52" s="3"/>
    </row>
    <row r="53" customFormat="false" ht="13.8" hidden="false" customHeight="false" outlineLevel="0" collapsed="false">
      <c r="J53" s="3"/>
    </row>
    <row r="54" customFormat="false" ht="13.8" hidden="false" customHeight="false" outlineLevel="0" collapsed="false">
      <c r="J54" s="3"/>
    </row>
    <row r="55" customFormat="false" ht="13.8" hidden="false" customHeight="false" outlineLevel="0" collapsed="false">
      <c r="J55" s="3"/>
    </row>
    <row r="56" customFormat="false" ht="13.8" hidden="false" customHeight="false" outlineLevel="0" collapsed="false">
      <c r="J56" s="3"/>
    </row>
    <row r="57" customFormat="false" ht="13.8" hidden="false" customHeight="false" outlineLevel="0" collapsed="false">
      <c r="J57" s="3"/>
    </row>
    <row r="58" customFormat="false" ht="13.8" hidden="false" customHeight="false" outlineLevel="0" collapsed="false">
      <c r="J58" s="3"/>
    </row>
    <row r="59" customFormat="false" ht="13.8" hidden="false" customHeight="false" outlineLevel="0" collapsed="false">
      <c r="J59" s="3"/>
    </row>
    <row r="60" customFormat="false" ht="13.8" hidden="false" customHeight="false" outlineLevel="0" collapsed="false">
      <c r="J60" s="3"/>
    </row>
    <row r="61" customFormat="false" ht="13.8" hidden="false" customHeight="false" outlineLevel="0" collapsed="false">
      <c r="J61" s="3"/>
    </row>
    <row r="62" customFormat="false" ht="13.8" hidden="false" customHeight="false" outlineLevel="0" collapsed="false">
      <c r="J62" s="3"/>
    </row>
    <row r="63" customFormat="false" ht="13.8" hidden="false" customHeight="false" outlineLevel="0" collapsed="false">
      <c r="J63" s="3"/>
    </row>
    <row r="64" customFormat="false" ht="13.8" hidden="false" customHeight="false" outlineLevel="0" collapsed="false">
      <c r="J64" s="3"/>
    </row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2025-09-22T09:08:24Z</dcterms:created>
  <dc:creator/>
  <dc:description/>
  <dc:language>fr-FR</dc:language>
  <cp:lastModifiedBy/>
  <dcterms:modified xsi:type="dcterms:W3CDTF">2026-10-07T10:06:40Z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ActionId">
    <vt:lpwstr>545f341b-9c0c-49de-af9d-3663af5b2d3a</vt:lpwstr>
  </property>
  <property fmtid="{D5CDD505-2E9C-101B-9397-08002B2CF9AE}" pid="3" name="MSIP_Label_d38901aa-f724-46bf-bb4f-aef09392934b_ContentBits">
    <vt:lpwstr>0</vt:lpwstr>
  </property>
  <property fmtid="{D5CDD505-2E9C-101B-9397-08002B2CF9AE}" pid="4" name="MSIP_Label_d38901aa-f724-46bf-bb4f-aef09392934b_Enabled">
    <vt:lpwstr>true</vt:lpwstr>
  </property>
  <property fmtid="{D5CDD505-2E9C-101B-9397-08002B2CF9AE}" pid="5" name="MSIP_Label_d38901aa-f724-46bf-bb4f-aef09392934b_Method">
    <vt:lpwstr>Standard</vt:lpwstr>
  </property>
  <property fmtid="{D5CDD505-2E9C-101B-9397-08002B2CF9AE}" pid="6" name="MSIP_Label_d38901aa-f724-46bf-bb4f-aef09392934b_Name">
    <vt:lpwstr>Internal - No Label</vt:lpwstr>
  </property>
  <property fmtid="{D5CDD505-2E9C-101B-9397-08002B2CF9AE}" pid="7" name="MSIP_Label_d38901aa-f724-46bf-bb4f-aef09392934b_SetDate">
    <vt:lpwstr>2025-09-22T09:09:08Z</vt:lpwstr>
  </property>
  <property fmtid="{D5CDD505-2E9C-101B-9397-08002B2CF9AE}" pid="8" name="MSIP_Label_d38901aa-f724-46bf-bb4f-aef09392934b_SiteId">
    <vt:lpwstr>eb06985d-06ca-4a17-81da-629ab99f6505</vt:lpwstr>
  </property>
  <property fmtid="{D5CDD505-2E9C-101B-9397-08002B2CF9AE}" pid="9" name="MSIP_Label_d38901aa-f724-46bf-bb4f-aef09392934b_Tag">
    <vt:lpwstr>10, 3, 0, 1</vt:lpwstr>
  </property>
</Properties>
</file>