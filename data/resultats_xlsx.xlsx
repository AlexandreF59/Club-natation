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<sst xmlns="http://schemas.openxmlformats.org/spreadsheetml/2006/main" count="607" uniqueCount="207">
  <si>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</si>
  <si>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</si>
  <si>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</si>
  <si>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</si>
  <si>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</si>
  <si>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</si>
  <si>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</si>
  <si>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</si>
  <si>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</si>
  <si>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</si>
  <si>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</si>
  <si>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</si>
  <si>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</si>
  <si>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</si>
  <si>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</si>
  <si>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</si>
  <si>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</si>
  <si>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</si>
  <si>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</si>
  <si>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</si>
  <si>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</si>
  <si>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</si>
  <si>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</si>
  <si>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</si>
  <si>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</si>
  <si>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</si>
  <si>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</si>
  <si>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</si>
  <si>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</si>
  <si>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</si>
  <si>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</si>
  <si>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</si>
  <si>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</si>
  <si>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</si>
  <si>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</si>
  <si>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</si>
  <si>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</si>
  <si>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</si>
  <si>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</si>
  <si>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</si>
  <si>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</si>
  <si>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</si>
  <si>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</si>
  <si>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</si>
  <si>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</si>
  <si>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</si>
  <si>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</si>
  <si>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</si>
  <si>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Zélie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</si>
  <si>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</si>
  <si>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</si>
  <si>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</si>
  <si>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</si>
  <si>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</si>
  <si>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</si>
  <si>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</si>
  <si>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</si>
  <si>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</si>
  <si>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</si>
  <si>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</si>
  <si>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</si>
  <si>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</si>
  <si>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</si>
  <si>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</si>
  <si>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</si>
  <si>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</si>
  <si>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</si>
  <si>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</si>
  <si>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</si>
  <si>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</si>
  <si>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</si>
  <si>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</si>
  <si>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</si>
  <si>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</si>
  <si>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</si>
  <si>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</si>
  <si>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</si>
  <si>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50 brasse Messieurs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</si>
  <si>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</si>
  <si>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</si>
  <si>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</si>
  <si>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</si>
  <si>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</si>
  <si>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</si>
  <si>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</si>
  <si>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</si>
  <si>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</si>
  <si>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</si>
  <si>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</si>
  <si>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</si>
  <si>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</si>
  <si>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</si>
  <si>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</si>
  <si>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</si>
  <si>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</si>
  <si>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</si>
  <si>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</si>
  <si>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</si>
  <si>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</si>
  <si>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</si>
  <si>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</si>
  <si>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</si>
  <si>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</si>
  <si>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</si>
  <si>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</si>
  <si>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</si>
  <si>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</si>
  <si>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</si>
  <si>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</si>
  <si>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</si>
  <si>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</si>
  <si>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</si>
  <si>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</si>
  <si>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</si>
  <si>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</si>
  <si>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</si>
  <si>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</si>
  <si>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</si>
  <si>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</si>
  <si>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</si>
  <si>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</si>
  <si>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</si>
  <si>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</si>
  <si>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</si>
  <si>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</si>
  <si>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</si>
  <si>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</si>
  <si>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</si>
  <si>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</si>
  <si>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</si>
  <si>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</si>
  <si>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</si>
  <si>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</si>
  <si>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</si>
  <si>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</si>
  <si>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</si>
  <si>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</si>
  <si>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</si>
  <si>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</si>
  <si>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</si>
  <si>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</si>
  <si>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</si>
  <si>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</si>
  <si>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</si>
  <si>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</si>
  <si>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</si>
  <si>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</si>
  <si>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</si>
  <si>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</si>
  <si>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</si>
  <si>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</si>
  <si>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</si>
  <si>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</si>
  <si>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</si>
  <si>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</si>
  <si>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</si>
  <si>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LOONIS Charlene</t>
  </si>
  <si>
    <t xml:space="preserve">00:54.00</t>
  </si>
  <si>
    <t xml:space="preserve">FARDOUX Faustine</t>
  </si>
  <si>
    <t xml:space="preserve">01:16.16</t>
  </si>
  <si>
    <t xml:space="preserve">01:01.72</t>
  </si>
  <si>
    <t xml:space="preserve">01:08.70</t>
  </si>
  <si>
    <t xml:space="preserve">LENGLAERT Marcel</t>
  </si>
  <si>
    <t xml:space="preserve">00:58.42</t>
  </si>
  <si>
    <t xml:space="preserve">01:02.31</t>
  </si>
  <si>
    <t xml:space="preserve">200 Nage Libre Dames</t>
  </si>
  <si>
    <t xml:space="preserve">03:01.61</t>
  </si>
  <si>
    <t xml:space="preserve">08/02/2026</t>
  </si>
  <si>
    <t xml:space="preserve">03:10.12</t>
  </si>
  <si>
    <t xml:space="preserve">03:28.17</t>
  </si>
  <si>
    <t xml:space="preserve">03:56.17</t>
  </si>
  <si>
    <t xml:space="preserve">100 Dos Dames</t>
  </si>
  <si>
    <t xml:space="preserve">01:45.28</t>
  </si>
  <si>
    <t xml:space="preserve">200 Brasse Dames</t>
  </si>
  <si>
    <t xml:space="preserve">VERMEERSCH Anèle</t>
  </si>
  <si>
    <t xml:space="preserve">03:44.56</t>
  </si>
  <si>
    <t xml:space="preserve">03:46.25</t>
  </si>
  <si>
    <t xml:space="preserve">04:19.34</t>
  </si>
  <si>
    <t xml:space="preserve">50 Papillon Dames</t>
  </si>
  <si>
    <t xml:space="preserve">00:52.54</t>
  </si>
  <si>
    <t xml:space="preserve">00:56.58</t>
  </si>
  <si>
    <t xml:space="preserve">200 Nage Libre Messieurs</t>
  </si>
  <si>
    <t xml:space="preserve">02:46.12</t>
  </si>
  <si>
    <t xml:space="preserve">03:10.63</t>
  </si>
  <si>
    <t xml:space="preserve">100 Dos Messieurs</t>
  </si>
  <si>
    <t xml:space="preserve">01:28.05</t>
  </si>
  <si>
    <t xml:space="preserve">00:46.91</t>
  </si>
  <si>
    <t xml:space="preserve">22/03/2026</t>
  </si>
  <si>
    <t xml:space="preserve">00:57.69</t>
  </si>
  <si>
    <t xml:space="preserve">01:41.16</t>
  </si>
  <si>
    <t xml:space="preserve">00:58.47</t>
  </si>
  <si>
    <t xml:space="preserve">01:00.22</t>
  </si>
  <si>
    <t xml:space="preserve">100 Brasse Dames</t>
  </si>
  <si>
    <t xml:space="preserve">02:02.18</t>
  </si>
  <si>
    <t xml:space="preserve">00:46.42</t>
  </si>
  <si>
    <t xml:space="preserve">00:50.03</t>
  </si>
  <si>
    <t xml:space="preserve">00:51.03</t>
  </si>
  <si>
    <t xml:space="preserve">00:56.42</t>
  </si>
  <si>
    <t xml:space="preserve">00:50.53</t>
  </si>
  <si>
    <t xml:space="preserve">00:56.96</t>
  </si>
  <si>
    <t xml:space="preserve">00:57.60</t>
  </si>
  <si>
    <t xml:space="preserve">01:01.52</t>
  </si>
  <si>
    <t xml:space="preserve">01:02.13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</si>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</sst>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78" colorId="64" zoomScale="100" zoomScaleNormal="100" zoomScalePageLayoutView="100" workbookViewId="0">
      <selection pane="topLeft" activeCell="D132" activeCellId="0" sqref="D132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5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5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5" hidden="false" customHeight="false" outlineLevel="0" collapsed="false">
      <c r="A37" s="1" t="s">
        <v>77</v>
      </c>
      <c r="B37" s="1" t="s">
        <v>9</v>
      </c>
      <c r="C37" s="1" t="s">
        <v>10</v>
      </c>
      <c r="D37" s="1" t="n">
        <v>1983</v>
      </c>
      <c r="E37" s="1" t="s">
        <v>78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5" hidden="false" customHeight="false" outlineLevel="0" collapsed="false">
      <c r="A38" s="1" t="s">
        <v>77</v>
      </c>
      <c r="B38" s="1" t="s">
        <v>9</v>
      </c>
      <c r="C38" s="1" t="s">
        <v>18</v>
      </c>
      <c r="D38" s="1" t="n">
        <v>1993</v>
      </c>
      <c r="E38" s="1" t="s">
        <v>79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5" hidden="false" customHeight="false" outlineLevel="0" collapsed="false">
      <c r="A39" s="1" t="s">
        <v>77</v>
      </c>
      <c r="B39" s="1" t="s">
        <v>9</v>
      </c>
      <c r="C39" s="1" t="s">
        <v>38</v>
      </c>
      <c r="D39" s="1" t="n">
        <v>2010</v>
      </c>
      <c r="E39" s="1" t="s">
        <v>80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5" hidden="false" customHeight="false" outlineLevel="0" collapsed="false">
      <c r="A40" s="1" t="s">
        <v>77</v>
      </c>
      <c r="B40" s="1" t="s">
        <v>9</v>
      </c>
      <c r="C40" s="1" t="s">
        <v>42</v>
      </c>
      <c r="D40" s="1" t="n">
        <v>2012</v>
      </c>
      <c r="E40" s="1" t="s">
        <v>81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82</v>
      </c>
      <c r="B41" s="1" t="s">
        <v>47</v>
      </c>
      <c r="C41" s="1" t="s">
        <v>48</v>
      </c>
      <c r="D41" s="1" t="n">
        <v>2002</v>
      </c>
      <c r="E41" s="1" t="s">
        <v>83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82</v>
      </c>
      <c r="B42" s="1" t="s">
        <v>47</v>
      </c>
      <c r="C42" s="1" t="s">
        <v>56</v>
      </c>
      <c r="D42" s="1" t="n">
        <v>2011</v>
      </c>
      <c r="E42" s="1" t="s">
        <v>84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82</v>
      </c>
      <c r="B43" s="1" t="s">
        <v>47</v>
      </c>
      <c r="C43" s="1" t="s">
        <v>58</v>
      </c>
      <c r="D43" s="1" t="n">
        <v>2010</v>
      </c>
      <c r="E43" s="1" t="s">
        <v>85</v>
      </c>
      <c r="F43" s="2" t="n">
        <v>45778</v>
      </c>
      <c r="G43" s="1" t="n">
        <v>429</v>
      </c>
      <c r="H43" s="1" t="s">
        <v>86</v>
      </c>
    </row>
    <row r="44" customFormat="false" ht="15" hidden="false" customHeight="false" outlineLevel="0" collapsed="false">
      <c r="A44" s="1" t="s">
        <v>82</v>
      </c>
      <c r="B44" s="1" t="s">
        <v>47</v>
      </c>
      <c r="C44" s="1" t="s">
        <v>68</v>
      </c>
      <c r="D44" s="1" t="n">
        <v>2012</v>
      </c>
      <c r="E44" s="1" t="s">
        <v>87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82</v>
      </c>
      <c r="B45" s="1" t="s">
        <v>47</v>
      </c>
      <c r="C45" s="1" t="s">
        <v>66</v>
      </c>
      <c r="D45" s="1" t="n">
        <v>2013</v>
      </c>
      <c r="E45" s="1" t="s">
        <v>88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82</v>
      </c>
      <c r="B46" s="1" t="s">
        <v>47</v>
      </c>
      <c r="C46" s="1" t="s">
        <v>64</v>
      </c>
      <c r="D46" s="1" t="n">
        <v>2012</v>
      </c>
      <c r="E46" s="1" t="s">
        <v>89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82</v>
      </c>
      <c r="B47" s="1" t="s">
        <v>47</v>
      </c>
      <c r="C47" s="1" t="s">
        <v>62</v>
      </c>
      <c r="D47" s="1" t="n">
        <v>2012</v>
      </c>
      <c r="E47" s="1" t="s">
        <v>90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82</v>
      </c>
      <c r="B48" s="1" t="s">
        <v>47</v>
      </c>
      <c r="C48" s="1" t="s">
        <v>60</v>
      </c>
      <c r="D48" s="1" t="n">
        <v>2013</v>
      </c>
      <c r="E48" s="1" t="s">
        <v>91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82</v>
      </c>
      <c r="B49" s="1" t="s">
        <v>47</v>
      </c>
      <c r="C49" s="1" t="s">
        <v>70</v>
      </c>
      <c r="D49" s="1" t="n">
        <v>2014</v>
      </c>
      <c r="E49" s="1" t="s">
        <v>92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82</v>
      </c>
      <c r="B50" s="1" t="s">
        <v>47</v>
      </c>
      <c r="C50" s="1" t="s">
        <v>72</v>
      </c>
      <c r="D50" s="1" t="n">
        <v>2015</v>
      </c>
      <c r="E50" s="1" t="s">
        <v>93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94</v>
      </c>
      <c r="F51" s="3" t="s">
        <v>95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96</v>
      </c>
      <c r="F52" s="3" t="s">
        <v>95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97</v>
      </c>
      <c r="D53" s="1" t="n">
        <v>2010</v>
      </c>
      <c r="E53" s="1" t="s">
        <v>98</v>
      </c>
      <c r="F53" s="3" t="s">
        <v>95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99</v>
      </c>
      <c r="D54" s="1" t="n">
        <v>2014</v>
      </c>
      <c r="E54" s="1" t="s">
        <v>100</v>
      </c>
      <c r="F54" s="3" t="s">
        <v>95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101</v>
      </c>
      <c r="F55" s="3" t="s">
        <v>95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102</v>
      </c>
      <c r="F56" s="3" t="s">
        <v>95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103</v>
      </c>
      <c r="F57" s="3" t="s">
        <v>95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104</v>
      </c>
      <c r="D58" s="1" t="n">
        <v>2014</v>
      </c>
      <c r="E58" s="1" t="s">
        <v>105</v>
      </c>
      <c r="F58" s="3" t="s">
        <v>95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106</v>
      </c>
      <c r="F59" s="3" t="s">
        <v>95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107</v>
      </c>
      <c r="D60" s="1" t="n">
        <v>2010</v>
      </c>
      <c r="E60" s="1" t="s">
        <v>108</v>
      </c>
      <c r="F60" s="3" t="s">
        <v>95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109</v>
      </c>
      <c r="D61" s="1" t="n">
        <v>2013</v>
      </c>
      <c r="E61" s="1" t="s">
        <v>110</v>
      </c>
      <c r="F61" s="3" t="s">
        <v>95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111</v>
      </c>
      <c r="B62" s="1" t="s">
        <v>47</v>
      </c>
      <c r="C62" s="1" t="s">
        <v>58</v>
      </c>
      <c r="D62" s="1" t="n">
        <v>2012</v>
      </c>
      <c r="E62" s="1" t="s">
        <v>112</v>
      </c>
      <c r="F62" s="3" t="s">
        <v>95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111</v>
      </c>
      <c r="B63" s="1" t="s">
        <v>47</v>
      </c>
      <c r="C63" s="1" t="s">
        <v>97</v>
      </c>
      <c r="D63" s="1" t="n">
        <v>2010</v>
      </c>
      <c r="E63" s="1" t="s">
        <v>113</v>
      </c>
      <c r="F63" s="3" t="s">
        <v>95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82</v>
      </c>
      <c r="B64" s="1" t="s">
        <v>47</v>
      </c>
      <c r="C64" s="1" t="s">
        <v>66</v>
      </c>
      <c r="D64" s="1" t="n">
        <v>2012</v>
      </c>
      <c r="E64" s="1" t="s">
        <v>114</v>
      </c>
      <c r="F64" s="3" t="s">
        <v>95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82</v>
      </c>
      <c r="B65" s="1" t="s">
        <v>47</v>
      </c>
      <c r="C65" s="1" t="s">
        <v>56</v>
      </c>
      <c r="D65" s="1" t="n">
        <v>2011</v>
      </c>
      <c r="E65" s="1" t="s">
        <v>115</v>
      </c>
      <c r="F65" s="3" t="s">
        <v>95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82</v>
      </c>
      <c r="B66" s="1" t="s">
        <v>47</v>
      </c>
      <c r="C66" s="1" t="s">
        <v>107</v>
      </c>
      <c r="D66" s="1" t="n">
        <v>2010</v>
      </c>
      <c r="E66" s="1" t="s">
        <v>116</v>
      </c>
      <c r="F66" s="3" t="s">
        <v>95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82</v>
      </c>
      <c r="B67" s="1" t="s">
        <v>47</v>
      </c>
      <c r="C67" s="1" t="s">
        <v>68</v>
      </c>
      <c r="D67" s="1" t="n">
        <v>2013</v>
      </c>
      <c r="E67" s="1" t="s">
        <v>117</v>
      </c>
      <c r="F67" s="3" t="s">
        <v>95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82</v>
      </c>
      <c r="B68" s="1" t="s">
        <v>47</v>
      </c>
      <c r="C68" s="1" t="s">
        <v>109</v>
      </c>
      <c r="D68" s="1" t="n">
        <v>2013</v>
      </c>
      <c r="E68" s="1" t="s">
        <v>118</v>
      </c>
      <c r="F68" s="3" t="s">
        <v>95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82</v>
      </c>
      <c r="B69" s="1" t="s">
        <v>47</v>
      </c>
      <c r="C69" s="1" t="s">
        <v>58</v>
      </c>
      <c r="D69" s="1" t="n">
        <v>2012</v>
      </c>
      <c r="E69" s="1" t="s">
        <v>119</v>
      </c>
      <c r="F69" s="3" t="s">
        <v>95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82</v>
      </c>
      <c r="B70" s="1" t="s">
        <v>47</v>
      </c>
      <c r="C70" s="1" t="s">
        <v>99</v>
      </c>
      <c r="D70" s="1" t="n">
        <v>2014</v>
      </c>
      <c r="E70" s="1" t="s">
        <v>120</v>
      </c>
      <c r="F70" s="3" t="s">
        <v>95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82</v>
      </c>
      <c r="B71" s="1" t="s">
        <v>47</v>
      </c>
      <c r="C71" s="1" t="s">
        <v>62</v>
      </c>
      <c r="D71" s="1" t="n">
        <v>2012</v>
      </c>
      <c r="E71" s="1" t="s">
        <v>121</v>
      </c>
      <c r="F71" s="3" t="s">
        <v>95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82</v>
      </c>
      <c r="B72" s="1" t="s">
        <v>47</v>
      </c>
      <c r="C72" s="1" t="s">
        <v>122</v>
      </c>
      <c r="D72" s="1" t="n">
        <v>2012</v>
      </c>
      <c r="E72" s="1" t="s">
        <v>123</v>
      </c>
      <c r="F72" s="3" t="s">
        <v>95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82</v>
      </c>
      <c r="B73" s="1" t="s">
        <v>47</v>
      </c>
      <c r="C73" s="1" t="s">
        <v>104</v>
      </c>
      <c r="D73" s="1" t="n">
        <v>2014</v>
      </c>
      <c r="E73" s="1" t="s">
        <v>124</v>
      </c>
      <c r="F73" s="3" t="s">
        <v>95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82</v>
      </c>
      <c r="B74" s="1" t="s">
        <v>47</v>
      </c>
      <c r="C74" s="1" t="s">
        <v>70</v>
      </c>
      <c r="D74" s="1" t="n">
        <v>2014</v>
      </c>
      <c r="E74" s="1" t="s">
        <v>125</v>
      </c>
      <c r="F74" s="3" t="s">
        <v>95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126</v>
      </c>
      <c r="D75" s="1" t="n">
        <v>2008</v>
      </c>
      <c r="E75" s="1" t="s">
        <v>127</v>
      </c>
      <c r="F75" s="3" t="s">
        <v>95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128</v>
      </c>
      <c r="D76" s="1" t="n">
        <v>2012</v>
      </c>
      <c r="E76" s="1" t="s">
        <v>129</v>
      </c>
      <c r="F76" s="3" t="s">
        <v>95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1" t="s">
        <v>46</v>
      </c>
      <c r="B77" s="1" t="s">
        <v>47</v>
      </c>
      <c r="C77" s="1" t="s">
        <v>72</v>
      </c>
      <c r="D77" s="1" t="n">
        <v>2015</v>
      </c>
      <c r="E77" s="1" t="s">
        <v>130</v>
      </c>
      <c r="F77" s="3" t="s">
        <v>131</v>
      </c>
      <c r="G77" s="1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1" t="s">
        <v>132</v>
      </c>
      <c r="B78" s="1" t="s">
        <v>47</v>
      </c>
      <c r="C78" s="1" t="s">
        <v>99</v>
      </c>
      <c r="D78" s="1" t="n">
        <v>2014</v>
      </c>
      <c r="E78" s="1" t="s">
        <v>133</v>
      </c>
      <c r="F78" s="3" t="s">
        <v>131</v>
      </c>
      <c r="G78" s="1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1" t="s">
        <v>132</v>
      </c>
      <c r="B79" s="1" t="s">
        <v>47</v>
      </c>
      <c r="C79" s="1" t="s">
        <v>104</v>
      </c>
      <c r="D79" s="1" t="n">
        <v>2014</v>
      </c>
      <c r="E79" s="1" t="s">
        <v>134</v>
      </c>
      <c r="F79" s="3" t="s">
        <v>131</v>
      </c>
      <c r="G79" s="1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1" t="s">
        <v>132</v>
      </c>
      <c r="B80" s="1" t="s">
        <v>47</v>
      </c>
      <c r="C80" s="1" t="s">
        <v>70</v>
      </c>
      <c r="D80" s="1" t="n">
        <v>2014</v>
      </c>
      <c r="E80" s="1" t="s">
        <v>135</v>
      </c>
      <c r="F80" s="3" t="s">
        <v>131</v>
      </c>
      <c r="G80" s="1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1" t="s">
        <v>111</v>
      </c>
      <c r="B81" s="1" t="s">
        <v>47</v>
      </c>
      <c r="C81" s="1" t="s">
        <v>136</v>
      </c>
      <c r="D81" s="1" t="n">
        <v>2015</v>
      </c>
      <c r="E81" s="1" t="s">
        <v>137</v>
      </c>
      <c r="F81" s="3" t="s">
        <v>131</v>
      </c>
      <c r="G81" s="1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1" t="s">
        <v>82</v>
      </c>
      <c r="B82" s="1" t="s">
        <v>47</v>
      </c>
      <c r="C82" s="1" t="s">
        <v>99</v>
      </c>
      <c r="D82" s="1" t="n">
        <v>2014</v>
      </c>
      <c r="E82" s="1" t="s">
        <v>138</v>
      </c>
      <c r="F82" s="3" t="s">
        <v>131</v>
      </c>
      <c r="G82" s="1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1" t="s">
        <v>82</v>
      </c>
      <c r="B83" s="1" t="s">
        <v>47</v>
      </c>
      <c r="C83" s="1" t="s">
        <v>104</v>
      </c>
      <c r="D83" s="1" t="n">
        <v>2014</v>
      </c>
      <c r="E83" s="1" t="s">
        <v>139</v>
      </c>
      <c r="F83" s="3" t="s">
        <v>131</v>
      </c>
      <c r="G83" s="1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1" t="s">
        <v>82</v>
      </c>
      <c r="B84" s="1" t="s">
        <v>47</v>
      </c>
      <c r="C84" s="1" t="s">
        <v>70</v>
      </c>
      <c r="D84" s="1" t="n">
        <v>2014</v>
      </c>
      <c r="E84" s="1" t="s">
        <v>140</v>
      </c>
      <c r="F84" s="3" t="s">
        <v>131</v>
      </c>
      <c r="G84" s="1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1" t="s">
        <v>82</v>
      </c>
      <c r="B85" s="1" t="s">
        <v>47</v>
      </c>
      <c r="C85" s="1" t="s">
        <v>72</v>
      </c>
      <c r="D85" s="1" t="n">
        <v>2015</v>
      </c>
      <c r="E85" s="1" t="s">
        <v>141</v>
      </c>
      <c r="F85" s="3" t="s">
        <v>131</v>
      </c>
      <c r="G85" s="1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1" t="s">
        <v>82</v>
      </c>
      <c r="B86" s="1" t="s">
        <v>47</v>
      </c>
      <c r="C86" s="1" t="s">
        <v>136</v>
      </c>
      <c r="D86" s="1" t="n">
        <v>2015</v>
      </c>
      <c r="E86" s="1" t="s">
        <v>142</v>
      </c>
      <c r="F86" s="3" t="s">
        <v>131</v>
      </c>
      <c r="G86" s="1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1" t="s">
        <v>35</v>
      </c>
      <c r="B87" s="1" t="s">
        <v>9</v>
      </c>
      <c r="C87" s="1" t="s">
        <v>143</v>
      </c>
      <c r="D87" s="1" t="n">
        <v>2015</v>
      </c>
      <c r="E87" s="1" t="s">
        <v>144</v>
      </c>
      <c r="F87" s="3" t="s">
        <v>131</v>
      </c>
      <c r="G87" s="1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1" t="s">
        <v>35</v>
      </c>
      <c r="B88" s="1" t="s">
        <v>9</v>
      </c>
      <c r="C88" s="1" t="s">
        <v>145</v>
      </c>
      <c r="D88" s="1" t="n">
        <v>2015</v>
      </c>
      <c r="E88" s="1" t="s">
        <v>146</v>
      </c>
      <c r="F88" s="3" t="s">
        <v>131</v>
      </c>
      <c r="G88" s="1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1" t="s">
        <v>35</v>
      </c>
      <c r="B89" s="1" t="s">
        <v>9</v>
      </c>
      <c r="C89" s="1" t="s">
        <v>147</v>
      </c>
      <c r="D89" s="1" t="n">
        <v>2015</v>
      </c>
      <c r="E89" s="1" t="s">
        <v>148</v>
      </c>
      <c r="F89" s="3" t="s">
        <v>131</v>
      </c>
      <c r="G89" s="1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1" t="s">
        <v>35</v>
      </c>
      <c r="B90" s="1" t="s">
        <v>9</v>
      </c>
      <c r="C90" s="1" t="s">
        <v>149</v>
      </c>
      <c r="D90" s="1" t="n">
        <v>2015</v>
      </c>
      <c r="E90" s="1" t="s">
        <v>150</v>
      </c>
      <c r="F90" s="3" t="s">
        <v>131</v>
      </c>
      <c r="G90" s="1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1" t="s">
        <v>151</v>
      </c>
      <c r="B91" s="1" t="s">
        <v>9</v>
      </c>
      <c r="C91" s="1" t="s">
        <v>143</v>
      </c>
      <c r="D91" s="1" t="n">
        <v>2015</v>
      </c>
      <c r="E91" s="1" t="s">
        <v>152</v>
      </c>
      <c r="F91" s="3" t="s">
        <v>131</v>
      </c>
      <c r="G91" s="1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1" t="s">
        <v>151</v>
      </c>
      <c r="B92" s="1" t="s">
        <v>9</v>
      </c>
      <c r="C92" s="1" t="s">
        <v>145</v>
      </c>
      <c r="D92" s="1" t="n">
        <v>2015</v>
      </c>
      <c r="E92" s="1" t="s">
        <v>153</v>
      </c>
      <c r="F92" s="3" t="s">
        <v>131</v>
      </c>
      <c r="G92" s="1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1" t="s">
        <v>151</v>
      </c>
      <c r="B93" s="1" t="s">
        <v>9</v>
      </c>
      <c r="C93" s="1" t="s">
        <v>147</v>
      </c>
      <c r="D93" s="1" t="n">
        <v>2015</v>
      </c>
      <c r="E93" s="1" t="s">
        <v>154</v>
      </c>
      <c r="F93" s="3" t="s">
        <v>131</v>
      </c>
      <c r="G93" s="1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1" t="s">
        <v>151</v>
      </c>
      <c r="B94" s="1" t="s">
        <v>9</v>
      </c>
      <c r="C94" s="1" t="s">
        <v>149</v>
      </c>
      <c r="D94" s="1" t="n">
        <v>2015</v>
      </c>
      <c r="E94" s="1" t="s">
        <v>155</v>
      </c>
      <c r="F94" s="3" t="s">
        <v>131</v>
      </c>
      <c r="G94" s="1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  <row r="95" customFormat="false" ht="13.8" hidden="false" customHeight="false" outlineLevel="0" collapsed="false">
      <c r="A95" s="1" t="s">
        <v>46</v>
      </c>
      <c r="B95" s="1" t="s">
        <v>47</v>
      </c>
      <c r="C95" s="1" t="s">
        <v>156</v>
      </c>
      <c r="D95" s="1" t="n">
        <v>2016</v>
      </c>
      <c r="E95" s="1" t="s">
        <v>157</v>
      </c>
      <c r="F95" s="3" t="s">
        <v>131</v>
      </c>
      <c r="G95" s="1" t="n">
        <v>1</v>
      </c>
      <c r="H95" s="1" t="str">
        <f aca="false">IF((YEAR(F95)-D95)&lt;=11,"Avenirs",IF((YEAR(F95)-D95)&lt;=13,"Benjamins",IF((YEAR(F95)-D95)&lt;=18,"Juniors",IF((YEAR(F95)-D95)&lt;=25,"Seniors","Master C"&amp;ROUNDUP((YEAR(F95)-D95-25)/5,0)))))</f>
        <v>Avenirs</v>
      </c>
    </row>
    <row r="96" customFormat="false" ht="13.8" hidden="false" customHeight="false" outlineLevel="0" collapsed="false">
      <c r="A96" s="1" t="s">
        <v>46</v>
      </c>
      <c r="B96" s="1" t="s">
        <v>47</v>
      </c>
      <c r="C96" s="1" t="s">
        <v>158</v>
      </c>
      <c r="D96" s="1" t="n">
        <v>2017</v>
      </c>
      <c r="E96" s="1" t="s">
        <v>159</v>
      </c>
      <c r="F96" s="3" t="s">
        <v>131</v>
      </c>
      <c r="G96" s="1" t="n">
        <v>1</v>
      </c>
      <c r="H96" s="1" t="str">
        <f aca="false">IF((YEAR(F96)-D96)&lt;=11,"Avenirs",IF((YEAR(F96)-D96)&lt;=13,"Benjamins",IF((YEAR(F96)-D96)&lt;=18,"Juniors",IF((YEAR(F96)-D96)&lt;=25,"Seniors","Master C"&amp;ROUNDUP((YEAR(F96)-D96-25)/5,0)))))</f>
        <v>Avenirs</v>
      </c>
    </row>
    <row r="97" customFormat="false" ht="13.8" hidden="false" customHeight="false" outlineLevel="0" collapsed="false">
      <c r="A97" s="1" t="s">
        <v>111</v>
      </c>
      <c r="B97" s="1" t="s">
        <v>47</v>
      </c>
      <c r="C97" s="1" t="s">
        <v>156</v>
      </c>
      <c r="D97" s="1" t="n">
        <v>2016</v>
      </c>
      <c r="E97" s="1" t="s">
        <v>160</v>
      </c>
      <c r="F97" s="3" t="s">
        <v>131</v>
      </c>
      <c r="G97" s="1" t="n">
        <v>71</v>
      </c>
      <c r="H97" s="1" t="str">
        <f aca="false">IF((YEAR(F97)-D97)&lt;=11,"Avenirs",IF((YEAR(F97)-D97)&lt;=13,"Benjamins",IF((YEAR(F97)-D97)&lt;=18,"Juniors",IF((YEAR(F97)-D97)&lt;=25,"Seniors","Master C"&amp;ROUNDUP((YEAR(F97)-D97-25)/5,0)))))</f>
        <v>Avenirs</v>
      </c>
    </row>
    <row r="98" customFormat="false" ht="13.8" hidden="false" customHeight="false" outlineLevel="0" collapsed="false">
      <c r="A98" s="1" t="s">
        <v>111</v>
      </c>
      <c r="B98" s="1" t="s">
        <v>47</v>
      </c>
      <c r="C98" s="1" t="s">
        <v>158</v>
      </c>
      <c r="D98" s="1" t="n">
        <v>2017</v>
      </c>
      <c r="E98" s="1" t="s">
        <v>161</v>
      </c>
      <c r="F98" s="3" t="s">
        <v>131</v>
      </c>
      <c r="G98" s="1" t="n">
        <v>7</v>
      </c>
      <c r="H98" s="1" t="str">
        <f aca="false">IF((YEAR(F98)-D98)&lt;=11,"Avenirs",IF((YEAR(F98)-D98)&lt;=13,"Benjamins",IF((YEAR(F98)-D98)&lt;=18,"Juniors",IF((YEAR(F98)-D98)&lt;=25,"Seniors","Master C"&amp;ROUNDUP((YEAR(F98)-D98-25)/5,0)))))</f>
        <v>Avenirs</v>
      </c>
    </row>
    <row r="99" customFormat="false" ht="13.8" hidden="false" customHeight="false" outlineLevel="0" collapsed="false">
      <c r="A99" s="1" t="s">
        <v>35</v>
      </c>
      <c r="B99" s="1" t="s">
        <v>9</v>
      </c>
      <c r="C99" s="1" t="s">
        <v>162</v>
      </c>
      <c r="D99" s="1" t="n">
        <v>2016</v>
      </c>
      <c r="E99" s="1" t="s">
        <v>163</v>
      </c>
      <c r="F99" s="3" t="s">
        <v>131</v>
      </c>
      <c r="G99" s="1" t="n">
        <v>1</v>
      </c>
      <c r="H99" s="1" t="str">
        <f aca="false">IF((YEAR(F99)-D99)&lt;=11,"Avenirs",IF((YEAR(F99)-D99)&lt;=13,"Benjamins",IF((YEAR(F99)-D99)&lt;=18,"Juniors",IF((YEAR(F99)-D99)&lt;=25,"Seniors","Master C"&amp;ROUNDUP((YEAR(F99)-D99-25)/5,0)))))</f>
        <v>Avenirs</v>
      </c>
    </row>
    <row r="100" customFormat="false" ht="13.8" hidden="false" customHeight="false" outlineLevel="0" collapsed="false">
      <c r="A100" s="1" t="s">
        <v>151</v>
      </c>
      <c r="B100" s="1" t="s">
        <v>9</v>
      </c>
      <c r="C100" s="1" t="s">
        <v>162</v>
      </c>
      <c r="D100" s="1" t="n">
        <v>2016</v>
      </c>
      <c r="E100" s="1" t="s">
        <v>164</v>
      </c>
      <c r="F100" s="3" t="s">
        <v>131</v>
      </c>
      <c r="G100" s="1" t="n">
        <v>11</v>
      </c>
      <c r="H100" s="1" t="str">
        <f aca="false">IF((YEAR(F100)-D100)&lt;=11,"Avenirs",IF((YEAR(F100)-D100)&lt;=13,"Benjamins",IF((YEAR(F100)-D100)&lt;=18,"Juniors",IF((YEAR(F100)-D100)&lt;=25,"Seniors","Master C"&amp;ROUNDUP((YEAR(F100)-D100-25)/5,0)))))</f>
        <v>Avenirs</v>
      </c>
    </row>
    <row r="101" customFormat="false" ht="13.8" hidden="false" customHeight="false" outlineLevel="0" collapsed="false">
      <c r="A101" s="1" t="s">
        <v>165</v>
      </c>
      <c r="B101" s="1" t="s">
        <v>47</v>
      </c>
      <c r="C101" s="1" t="s">
        <v>60</v>
      </c>
      <c r="D101" s="1" t="n">
        <v>2013</v>
      </c>
      <c r="E101" s="1" t="s">
        <v>166</v>
      </c>
      <c r="F101" s="3" t="s">
        <v>167</v>
      </c>
      <c r="G101" s="1" t="n">
        <v>472</v>
      </c>
      <c r="H101" s="1" t="str">
        <f aca="false">IF((YEAR(F101)-D101)&lt;=11,"Avenirs",IF((YEAR(F101)-D101)&lt;=13,"Benjamins",IF((YEAR(F101)-D101)&lt;=18,"Juniors",IF((YEAR(F101)-D101)&lt;=25,"Seniors","Master C"&amp;ROUNDUP((YEAR(F101)-D101-25)/5,0)))))</f>
        <v>Benjamins</v>
      </c>
    </row>
    <row r="102" customFormat="false" ht="13.8" hidden="false" customHeight="false" outlineLevel="0" collapsed="false">
      <c r="A102" s="1" t="s">
        <v>165</v>
      </c>
      <c r="B102" s="1" t="s">
        <v>47</v>
      </c>
      <c r="C102" s="1" t="s">
        <v>68</v>
      </c>
      <c r="D102" s="1" t="n">
        <v>2013</v>
      </c>
      <c r="E102" s="1" t="s">
        <v>168</v>
      </c>
      <c r="F102" s="3" t="s">
        <v>167</v>
      </c>
      <c r="G102" s="1" t="n">
        <v>391</v>
      </c>
      <c r="H102" s="1" t="str">
        <f aca="false">IF((YEAR(F102)-D102)&lt;=11,"Avenirs",IF((YEAR(F102)-D102)&lt;=13,"Benjamins",IF((YEAR(F102)-D102)&lt;=18,"Juniors",IF((YEAR(F102)-D102)&lt;=25,"Seniors","Master C"&amp;ROUNDUP((YEAR(F102)-D102-25)/5,0)))))</f>
        <v>Benjamins</v>
      </c>
    </row>
    <row r="103" customFormat="false" ht="13.8" hidden="false" customHeight="false" outlineLevel="0" collapsed="false">
      <c r="A103" s="1" t="s">
        <v>165</v>
      </c>
      <c r="B103" s="1" t="s">
        <v>47</v>
      </c>
      <c r="C103" s="1" t="s">
        <v>97</v>
      </c>
      <c r="D103" s="1" t="n">
        <v>2010</v>
      </c>
      <c r="E103" s="1" t="s">
        <v>169</v>
      </c>
      <c r="F103" s="3" t="s">
        <v>167</v>
      </c>
      <c r="G103" s="1" t="n">
        <v>244</v>
      </c>
      <c r="H103" s="1" t="str">
        <f aca="false">IF((YEAR(F103)-D103)&lt;=11,"Avenirs",IF((YEAR(F103)-D103)&lt;=13,"Benjamins",IF((YEAR(F103)-D103)&lt;=18,"Juniors",IF((YEAR(F103)-D103)&lt;=25,"Seniors","Master C"&amp;ROUNDUP((YEAR(F103)-D103-25)/5,0)))))</f>
        <v>Juniors</v>
      </c>
    </row>
    <row r="104" customFormat="false" ht="13.8" hidden="false" customHeight="false" outlineLevel="0" collapsed="false">
      <c r="A104" s="1" t="s">
        <v>165</v>
      </c>
      <c r="B104" s="1" t="s">
        <v>47</v>
      </c>
      <c r="C104" s="1" t="s">
        <v>70</v>
      </c>
      <c r="D104" s="1" t="n">
        <v>2014</v>
      </c>
      <c r="E104" s="1" t="s">
        <v>170</v>
      </c>
      <c r="F104" s="3" t="s">
        <v>167</v>
      </c>
      <c r="G104" s="1" t="n">
        <v>84</v>
      </c>
      <c r="H104" s="1" t="str">
        <f aca="false">IF((YEAR(F104)-D104)&lt;=11,"Avenirs",IF((YEAR(F104)-D104)&lt;=13,"Benjamins",IF((YEAR(F104)-D104)&lt;=18,"Juniors",IF((YEAR(F104)-D104)&lt;=25,"Seniors","Master C"&amp;ROUNDUP((YEAR(F104)-D104-25)/5,0)))))</f>
        <v>Benjamins</v>
      </c>
    </row>
    <row r="105" customFormat="false" ht="13.8" hidden="false" customHeight="false" outlineLevel="0" collapsed="false">
      <c r="A105" s="1" t="s">
        <v>171</v>
      </c>
      <c r="B105" s="1" t="s">
        <v>47</v>
      </c>
      <c r="C105" s="1" t="s">
        <v>66</v>
      </c>
      <c r="D105" s="1" t="n">
        <v>2012</v>
      </c>
      <c r="E105" s="1" t="s">
        <v>172</v>
      </c>
      <c r="F105" s="3" t="s">
        <v>167</v>
      </c>
      <c r="G105" s="1" t="n">
        <v>321</v>
      </c>
      <c r="H105" s="1" t="str">
        <f aca="false">IF((YEAR(F105)-D105)&lt;=11,"Avenirs",IF((YEAR(F105)-D105)&lt;=13,"Benjamins",IF((YEAR(F105)-D105)&lt;=18,"Juniors",IF((YEAR(F105)-D105)&lt;=25,"Seniors","Master C"&amp;ROUNDUP((YEAR(F105)-D105-25)/5,0)))))</f>
        <v>Juniors</v>
      </c>
    </row>
    <row r="106" customFormat="false" ht="13.8" hidden="false" customHeight="false" outlineLevel="0" collapsed="false">
      <c r="A106" s="1" t="s">
        <v>173</v>
      </c>
      <c r="B106" s="1" t="s">
        <v>47</v>
      </c>
      <c r="C106" s="1" t="s">
        <v>174</v>
      </c>
      <c r="D106" s="1" t="n">
        <v>2012</v>
      </c>
      <c r="E106" s="1" t="s">
        <v>175</v>
      </c>
      <c r="F106" s="3" t="s">
        <v>167</v>
      </c>
      <c r="G106" s="1" t="n">
        <v>499</v>
      </c>
      <c r="H106" s="1" t="str">
        <f aca="false">IF((YEAR(F106)-D106)&lt;=11,"Avenirs",IF((YEAR(F106)-D106)&lt;=13,"Benjamins",IF((YEAR(F106)-D106)&lt;=18,"Juniors",IF((YEAR(F106)-D106)&lt;=25,"Seniors","Master C"&amp;ROUNDUP((YEAR(F106)-D106-25)/5,0)))))</f>
        <v>Juniors</v>
      </c>
    </row>
    <row r="107" customFormat="false" ht="13.8" hidden="false" customHeight="false" outlineLevel="0" collapsed="false">
      <c r="A107" s="1" t="s">
        <v>173</v>
      </c>
      <c r="B107" s="1" t="s">
        <v>47</v>
      </c>
      <c r="C107" s="1" t="s">
        <v>66</v>
      </c>
      <c r="D107" s="1" t="n">
        <v>2012</v>
      </c>
      <c r="E107" s="1" t="s">
        <v>176</v>
      </c>
      <c r="F107" s="3" t="s">
        <v>167</v>
      </c>
      <c r="G107" s="1" t="n">
        <v>486</v>
      </c>
      <c r="H107" s="1" t="str">
        <f aca="false">IF((YEAR(F107)-D107)&lt;=11,"Avenirs",IF((YEAR(F107)-D107)&lt;=13,"Benjamins",IF((YEAR(F107)-D107)&lt;=18,"Juniors",IF((YEAR(F107)-D107)&lt;=25,"Seniors","Master C"&amp;ROUNDUP((YEAR(F107)-D107-25)/5,0)))))</f>
        <v>Juniors</v>
      </c>
    </row>
    <row r="108" customFormat="false" ht="13.8" hidden="false" customHeight="false" outlineLevel="0" collapsed="false">
      <c r="A108" s="1" t="s">
        <v>173</v>
      </c>
      <c r="B108" s="1" t="s">
        <v>47</v>
      </c>
      <c r="C108" s="1" t="s">
        <v>70</v>
      </c>
      <c r="D108" s="1" t="n">
        <v>2014</v>
      </c>
      <c r="E108" s="1" t="s">
        <v>177</v>
      </c>
      <c r="F108" s="3" t="s">
        <v>167</v>
      </c>
      <c r="G108" s="1" t="n">
        <v>264</v>
      </c>
      <c r="H108" s="1" t="str">
        <f aca="false">IF((YEAR(F108)-D108)&lt;=11,"Avenirs",IF((YEAR(F108)-D108)&lt;=13,"Benjamins",IF((YEAR(F108)-D108)&lt;=18,"Juniors",IF((YEAR(F108)-D108)&lt;=25,"Seniors","Master C"&amp;ROUNDUP((YEAR(F108)-D108-25)/5,0)))))</f>
        <v>Benjamins</v>
      </c>
    </row>
    <row r="109" customFormat="false" ht="13.8" hidden="false" customHeight="false" outlineLevel="0" collapsed="false">
      <c r="A109" s="1" t="s">
        <v>178</v>
      </c>
      <c r="B109" s="1" t="s">
        <v>47</v>
      </c>
      <c r="C109" s="1" t="s">
        <v>60</v>
      </c>
      <c r="D109" s="1" t="n">
        <v>2013</v>
      </c>
      <c r="E109" s="1" t="s">
        <v>179</v>
      </c>
      <c r="F109" s="3" t="s">
        <v>167</v>
      </c>
      <c r="G109" s="1" t="n">
        <v>134</v>
      </c>
      <c r="H109" s="1" t="str">
        <f aca="false">IF((YEAR(F109)-D109)&lt;=11,"Avenirs",IF((YEAR(F109)-D109)&lt;=13,"Benjamins",IF((YEAR(F109)-D109)&lt;=18,"Juniors",IF((YEAR(F109)-D109)&lt;=25,"Seniors","Master C"&amp;ROUNDUP((YEAR(F109)-D109-25)/5,0)))))</f>
        <v>Benjamins</v>
      </c>
    </row>
    <row r="110" customFormat="false" ht="13.8" hidden="false" customHeight="false" outlineLevel="0" collapsed="false">
      <c r="A110" s="1" t="s">
        <v>178</v>
      </c>
      <c r="B110" s="1" t="s">
        <v>47</v>
      </c>
      <c r="C110" s="1" t="s">
        <v>97</v>
      </c>
      <c r="D110" s="1" t="n">
        <v>2010</v>
      </c>
      <c r="E110" s="1" t="s">
        <v>180</v>
      </c>
      <c r="F110" s="3" t="s">
        <v>167</v>
      </c>
      <c r="G110" s="1" t="n">
        <v>60</v>
      </c>
      <c r="H110" s="1" t="str">
        <f aca="false">IF((YEAR(F110)-D110)&lt;=11,"Avenirs",IF((YEAR(F110)-D110)&lt;=13,"Benjamins",IF((YEAR(F110)-D110)&lt;=18,"Juniors",IF((YEAR(F110)-D110)&lt;=25,"Seniors","Master C"&amp;ROUNDUP((YEAR(F110)-D110-25)/5,0)))))</f>
        <v>Juniors</v>
      </c>
    </row>
    <row r="111" customFormat="false" ht="13.8" hidden="false" customHeight="false" outlineLevel="0" collapsed="false">
      <c r="A111" s="1" t="s">
        <v>181</v>
      </c>
      <c r="B111" s="1" t="s">
        <v>9</v>
      </c>
      <c r="C111" s="1" t="s">
        <v>126</v>
      </c>
      <c r="D111" s="1" t="n">
        <v>2008</v>
      </c>
      <c r="E111" s="1" t="s">
        <v>182</v>
      </c>
      <c r="F111" s="3" t="s">
        <v>167</v>
      </c>
      <c r="G111" s="1" t="n">
        <v>460</v>
      </c>
      <c r="H111" s="1" t="str">
        <f aca="false">IF((YEAR(F111)-D111)&lt;=11,"Avenirs",IF((YEAR(F111)-D111)&lt;=13,"Benjamins",IF((YEAR(F111)-D111)&lt;=18,"Juniors",IF((YEAR(F111)-D111)&lt;=25,"Seniors","Master C"&amp;ROUNDUP((YEAR(F111)-D111-25)/5,0)))))</f>
        <v>Juniors</v>
      </c>
    </row>
    <row r="112" customFormat="false" ht="13.8" hidden="false" customHeight="false" outlineLevel="0" collapsed="false">
      <c r="A112" s="1" t="s">
        <v>181</v>
      </c>
      <c r="B112" s="1" t="s">
        <v>9</v>
      </c>
      <c r="C112" s="1" t="s">
        <v>128</v>
      </c>
      <c r="D112" s="1" t="n">
        <v>2012</v>
      </c>
      <c r="E112" s="1" t="s">
        <v>183</v>
      </c>
      <c r="F112" s="3" t="s">
        <v>167</v>
      </c>
      <c r="G112" s="1" t="n">
        <v>235</v>
      </c>
      <c r="H112" s="1" t="str">
        <f aca="false">IF((YEAR(F112)-D112)&lt;=11,"Avenirs",IF((YEAR(F112)-D112)&lt;=13,"Benjamins",IF((YEAR(F112)-D112)&lt;=18,"Juniors",IF((YEAR(F112)-D112)&lt;=25,"Seniors","Master C"&amp;ROUNDUP((YEAR(F112)-D112-25)/5,0)))))</f>
        <v>Juniors</v>
      </c>
    </row>
    <row r="113" customFormat="false" ht="13.8" hidden="false" customHeight="false" outlineLevel="0" collapsed="false">
      <c r="A113" s="1" t="s">
        <v>184</v>
      </c>
      <c r="B113" s="1" t="s">
        <v>9</v>
      </c>
      <c r="C113" s="1" t="s">
        <v>126</v>
      </c>
      <c r="D113" s="1" t="n">
        <v>2008</v>
      </c>
      <c r="E113" s="1" t="s">
        <v>185</v>
      </c>
      <c r="F113" s="3" t="s">
        <v>167</v>
      </c>
      <c r="G113" s="1" t="n">
        <v>460</v>
      </c>
      <c r="H113" s="1" t="str">
        <f aca="false">IF((YEAR(F113)-D113)&lt;=11,"Avenirs",IF((YEAR(F113)-D113)&lt;=13,"Benjamins",IF((YEAR(F113)-D113)&lt;=18,"Juniors",IF((YEAR(F113)-D113)&lt;=25,"Seniors","Master C"&amp;ROUNDUP((YEAR(F113)-D113-25)/5,0)))))</f>
        <v>Juniors</v>
      </c>
    </row>
    <row r="114" customFormat="false" ht="13.8" hidden="false" customHeight="false" outlineLevel="0" collapsed="false">
      <c r="A114" s="0" t="s">
        <v>46</v>
      </c>
      <c r="B114" s="1" t="s">
        <v>47</v>
      </c>
      <c r="C114" s="0" t="s">
        <v>156</v>
      </c>
      <c r="D114" s="0" t="n">
        <v>2016</v>
      </c>
      <c r="E114" s="0" t="s">
        <v>186</v>
      </c>
      <c r="F114" s="4" t="s">
        <v>187</v>
      </c>
      <c r="G114" s="0" t="n">
        <v>169</v>
      </c>
      <c r="H114" s="1" t="str">
        <f aca="false">IF((YEAR(F114)-D114)&lt;=11,"Avenirs",IF((YEAR(F114)-D114)&lt;=13,"Benjamins",IF((YEAR(F114)-D114)&lt;=18,"Juniors",IF((YEAR(F114)-D114)&lt;=25,"Seniors","Master C"&amp;ROUNDUP((YEAR(F114)-D114-25)/5,0)))))</f>
        <v>Avenirs</v>
      </c>
    </row>
    <row r="115" customFormat="false" ht="13.8" hidden="false" customHeight="false" outlineLevel="0" collapsed="false">
      <c r="A115" s="0" t="s">
        <v>46</v>
      </c>
      <c r="B115" s="1" t="s">
        <v>47</v>
      </c>
      <c r="C115" s="0" t="s">
        <v>136</v>
      </c>
      <c r="D115" s="0" t="n">
        <v>2015</v>
      </c>
      <c r="E115" s="0" t="s">
        <v>188</v>
      </c>
      <c r="F115" s="4" t="s">
        <v>187</v>
      </c>
      <c r="G115" s="0" t="n">
        <v>3</v>
      </c>
      <c r="H115" s="1" t="str">
        <f aca="false">IF((YEAR(F115)-D115)&lt;=11,"Avenirs",IF((YEAR(F115)-D115)&lt;=13,"Benjamins",IF((YEAR(F115)-D115)&lt;=18,"Juniors",IF((YEAR(F115)-D115)&lt;=25,"Seniors","Master C"&amp;ROUNDUP((YEAR(F115)-D115-25)/5,0)))))</f>
        <v>Avenirs</v>
      </c>
    </row>
    <row r="116" customFormat="false" ht="13.8" hidden="false" customHeight="false" outlineLevel="0" collapsed="false">
      <c r="A116" s="0" t="s">
        <v>132</v>
      </c>
      <c r="B116" s="1" t="s">
        <v>47</v>
      </c>
      <c r="C116" s="0" t="s">
        <v>72</v>
      </c>
      <c r="D116" s="0" t="n">
        <v>2015</v>
      </c>
      <c r="E116" s="0" t="s">
        <v>189</v>
      </c>
      <c r="F116" s="4" t="s">
        <v>187</v>
      </c>
      <c r="G116" s="0" t="n">
        <v>141</v>
      </c>
      <c r="H116" s="1" t="str">
        <f aca="false">IF((YEAR(F116)-D116)&lt;=11,"Avenirs",IF((YEAR(F116)-D116)&lt;=13,"Benjamins",IF((YEAR(F116)-D116)&lt;=18,"Juniors",IF((YEAR(F116)-D116)&lt;=25,"Seniors","Master C"&amp;ROUNDUP((YEAR(F116)-D116-25)/5,0)))))</f>
        <v>Avenirs</v>
      </c>
    </row>
    <row r="117" customFormat="false" ht="13.8" hidden="false" customHeight="false" outlineLevel="0" collapsed="false">
      <c r="A117" s="0" t="s">
        <v>111</v>
      </c>
      <c r="B117" s="1" t="s">
        <v>47</v>
      </c>
      <c r="C117" s="0" t="s">
        <v>156</v>
      </c>
      <c r="D117" s="0" t="n">
        <v>2016</v>
      </c>
      <c r="E117" s="0" t="s">
        <v>190</v>
      </c>
      <c r="F117" s="4" t="s">
        <v>187</v>
      </c>
      <c r="G117" s="0" t="n">
        <v>123</v>
      </c>
      <c r="H117" s="1" t="str">
        <f aca="false">IF((YEAR(F117)-D117)&lt;=11,"Avenirs",IF((YEAR(F117)-D117)&lt;=13,"Benjamins",IF((YEAR(F117)-D117)&lt;=18,"Juniors",IF((YEAR(F117)-D117)&lt;=25,"Seniors","Master C"&amp;ROUNDUP((YEAR(F117)-D117-25)/5,0)))))</f>
        <v>Avenirs</v>
      </c>
    </row>
    <row r="118" customFormat="false" ht="13.8" hidden="false" customHeight="false" outlineLevel="0" collapsed="false">
      <c r="A118" s="0" t="s">
        <v>111</v>
      </c>
      <c r="B118" s="1" t="s">
        <v>47</v>
      </c>
      <c r="C118" s="0" t="s">
        <v>136</v>
      </c>
      <c r="D118" s="0" t="n">
        <v>2015</v>
      </c>
      <c r="E118" s="0" t="s">
        <v>191</v>
      </c>
      <c r="F118" s="4" t="s">
        <v>187</v>
      </c>
      <c r="G118" s="0" t="n">
        <v>93</v>
      </c>
      <c r="H118" s="1" t="str">
        <f aca="false">IF((YEAR(F118)-D118)&lt;=11,"Avenirs",IF((YEAR(F118)-D118)&lt;=13,"Benjamins",IF((YEAR(F118)-D118)&lt;=18,"Juniors",IF((YEAR(F118)-D118)&lt;=25,"Seniors","Master C"&amp;ROUNDUP((YEAR(F118)-D118-25)/5,0)))))</f>
        <v>Avenirs</v>
      </c>
    </row>
    <row r="119" customFormat="false" ht="13.8" hidden="false" customHeight="false" outlineLevel="0" collapsed="false">
      <c r="A119" s="0" t="s">
        <v>192</v>
      </c>
      <c r="B119" s="1" t="s">
        <v>47</v>
      </c>
      <c r="C119" s="0" t="s">
        <v>72</v>
      </c>
      <c r="D119" s="0" t="n">
        <v>2015</v>
      </c>
      <c r="E119" s="0" t="s">
        <v>193</v>
      </c>
      <c r="F119" s="4" t="s">
        <v>187</v>
      </c>
      <c r="G119" s="0" t="n">
        <v>299</v>
      </c>
      <c r="H119" s="1" t="str">
        <f aca="false">IF((YEAR(F119)-D119)&lt;=11,"Avenirs",IF((YEAR(F119)-D119)&lt;=13,"Benjamins",IF((YEAR(F119)-D119)&lt;=18,"Juniors",IF((YEAR(F119)-D119)&lt;=25,"Seniors","Master C"&amp;ROUNDUP((YEAR(F119)-D119-25)/5,0)))))</f>
        <v>Avenirs</v>
      </c>
    </row>
    <row r="120" customFormat="false" ht="13.8" hidden="false" customHeight="false" outlineLevel="0" collapsed="false">
      <c r="A120" s="0" t="s">
        <v>35</v>
      </c>
      <c r="B120" s="1" t="s">
        <v>9</v>
      </c>
      <c r="C120" s="0" t="s">
        <v>143</v>
      </c>
      <c r="D120" s="0" t="n">
        <v>2015</v>
      </c>
      <c r="E120" s="0" t="s">
        <v>103</v>
      </c>
      <c r="F120" s="4" t="s">
        <v>187</v>
      </c>
      <c r="G120" s="0" t="n">
        <v>246</v>
      </c>
      <c r="H120" s="1" t="str">
        <f aca="false">IF((YEAR(F120)-D120)&lt;=11,"Avenirs",IF((YEAR(F120)-D120)&lt;=13,"Benjamins",IF((YEAR(F120)-D120)&lt;=18,"Juniors",IF((YEAR(F120)-D120)&lt;=25,"Seniors","Master C"&amp;ROUNDUP((YEAR(F120)-D120-25)/5,0)))))</f>
        <v>Avenirs</v>
      </c>
    </row>
    <row r="121" customFormat="false" ht="13.8" hidden="false" customHeight="false" outlineLevel="0" collapsed="false">
      <c r="A121" s="0" t="s">
        <v>35</v>
      </c>
      <c r="B121" s="1" t="s">
        <v>9</v>
      </c>
      <c r="C121" s="0" t="s">
        <v>145</v>
      </c>
      <c r="D121" s="0" t="n">
        <v>2015</v>
      </c>
      <c r="E121" s="0" t="s">
        <v>194</v>
      </c>
      <c r="F121" s="4" t="s">
        <v>187</v>
      </c>
      <c r="G121" s="0" t="n">
        <v>121</v>
      </c>
      <c r="H121" s="1" t="str">
        <f aca="false">IF((YEAR(F121)-D121)&lt;=11,"Avenirs",IF((YEAR(F121)-D121)&lt;=13,"Benjamins",IF((YEAR(F121)-D121)&lt;=18,"Juniors",IF((YEAR(F121)-D121)&lt;=25,"Seniors","Master C"&amp;ROUNDUP((YEAR(F121)-D121-25)/5,0)))))</f>
        <v>Avenirs</v>
      </c>
    </row>
    <row r="122" customFormat="false" ht="13.8" hidden="false" customHeight="false" outlineLevel="0" collapsed="false">
      <c r="A122" s="0" t="s">
        <v>35</v>
      </c>
      <c r="B122" s="1" t="s">
        <v>9</v>
      </c>
      <c r="C122" s="0" t="s">
        <v>162</v>
      </c>
      <c r="D122" s="0" t="n">
        <v>2016</v>
      </c>
      <c r="E122" s="0" t="s">
        <v>195</v>
      </c>
      <c r="F122" s="4" t="s">
        <v>187</v>
      </c>
      <c r="G122" s="0" t="n">
        <v>52</v>
      </c>
      <c r="H122" s="1" t="str">
        <f aca="false">IF((YEAR(F122)-D122)&lt;=11,"Avenirs",IF((YEAR(F122)-D122)&lt;=13,"Benjamins",IF((YEAR(F122)-D122)&lt;=18,"Juniors",IF((YEAR(F122)-D122)&lt;=25,"Seniors","Master C"&amp;ROUNDUP((YEAR(F122)-D122-25)/5,0)))))</f>
        <v>Avenirs</v>
      </c>
    </row>
    <row r="123" customFormat="false" ht="13.8" hidden="false" customHeight="false" outlineLevel="0" collapsed="false">
      <c r="A123" s="0" t="s">
        <v>35</v>
      </c>
      <c r="B123" s="1" t="s">
        <v>9</v>
      </c>
      <c r="C123" s="0" t="s">
        <v>147</v>
      </c>
      <c r="D123" s="0" t="n">
        <v>2015</v>
      </c>
      <c r="E123" s="0" t="s">
        <v>196</v>
      </c>
      <c r="F123" s="4" t="s">
        <v>187</v>
      </c>
      <c r="G123" s="0" t="n">
        <v>39</v>
      </c>
      <c r="H123" s="1" t="str">
        <f aca="false">IF((YEAR(F123)-D123)&lt;=11,"Avenirs",IF((YEAR(F123)-D123)&lt;=13,"Benjamins",IF((YEAR(F123)-D123)&lt;=18,"Juniors",IF((YEAR(F123)-D123)&lt;=25,"Seniors","Master C"&amp;ROUNDUP((YEAR(F123)-D123-25)/5,0)))))</f>
        <v>Avenirs</v>
      </c>
    </row>
    <row r="124" customFormat="false" ht="13.8" hidden="false" customHeight="false" outlineLevel="0" collapsed="false">
      <c r="A124" s="0" t="s">
        <v>35</v>
      </c>
      <c r="B124" s="1" t="s">
        <v>9</v>
      </c>
      <c r="C124" s="0" t="s">
        <v>149</v>
      </c>
      <c r="D124" s="0" t="n">
        <v>2015</v>
      </c>
      <c r="E124" s="0" t="s">
        <v>197</v>
      </c>
      <c r="F124" s="4" t="s">
        <v>187</v>
      </c>
      <c r="G124" s="0" t="n">
        <v>1</v>
      </c>
      <c r="H124" s="1" t="str">
        <f aca="false">IF((YEAR(F124)-D124)&lt;=11,"Avenirs",IF((YEAR(F124)-D124)&lt;=13,"Benjamins",IF((YEAR(F124)-D124)&lt;=18,"Juniors",IF((YEAR(F124)-D124)&lt;=25,"Seniors","Master C"&amp;ROUNDUP((YEAR(F124)-D124-25)/5,0)))))</f>
        <v>Avenirs</v>
      </c>
    </row>
    <row r="125" customFormat="false" ht="13.8" hidden="false" customHeight="false" outlineLevel="0" collapsed="false">
      <c r="A125" s="0" t="s">
        <v>151</v>
      </c>
      <c r="B125" s="1" t="s">
        <v>9</v>
      </c>
      <c r="C125" s="0" t="s">
        <v>145</v>
      </c>
      <c r="D125" s="0" t="n">
        <v>2015</v>
      </c>
      <c r="E125" s="0" t="s">
        <v>198</v>
      </c>
      <c r="F125" s="4" t="s">
        <v>187</v>
      </c>
      <c r="G125" s="0" t="n">
        <v>184</v>
      </c>
      <c r="H125" s="1" t="str">
        <f aca="false">IF((YEAR(F125)-D125)&lt;=11,"Avenirs",IF((YEAR(F125)-D125)&lt;=13,"Benjamins",IF((YEAR(F125)-D125)&lt;=18,"Juniors",IF((YEAR(F125)-D125)&lt;=25,"Seniors","Master C"&amp;ROUNDUP((YEAR(F125)-D125-25)/5,0)))))</f>
        <v>Avenirs</v>
      </c>
    </row>
    <row r="126" customFormat="false" ht="13.8" hidden="false" customHeight="false" outlineLevel="0" collapsed="false">
      <c r="A126" s="0" t="s">
        <v>151</v>
      </c>
      <c r="B126" s="1" t="s">
        <v>9</v>
      </c>
      <c r="C126" s="0" t="s">
        <v>143</v>
      </c>
      <c r="D126" s="0" t="n">
        <v>2015</v>
      </c>
      <c r="E126" s="0" t="s">
        <v>199</v>
      </c>
      <c r="F126" s="4" t="s">
        <v>187</v>
      </c>
      <c r="G126" s="0" t="n">
        <v>63</v>
      </c>
      <c r="H126" s="1" t="str">
        <f aca="false">IF((YEAR(F126)-D126)&lt;=11,"Avenirs",IF((YEAR(F126)-D126)&lt;=13,"Benjamins",IF((YEAR(F126)-D126)&lt;=18,"Juniors",IF((YEAR(F126)-D126)&lt;=25,"Seniors","Master C"&amp;ROUNDUP((YEAR(F126)-D126-25)/5,0)))))</f>
        <v>Avenirs</v>
      </c>
    </row>
    <row r="127" customFormat="false" ht="13.8" hidden="false" customHeight="false" outlineLevel="0" collapsed="false">
      <c r="A127" s="0" t="s">
        <v>151</v>
      </c>
      <c r="B127" s="1" t="s">
        <v>9</v>
      </c>
      <c r="C127" s="0" t="s">
        <v>162</v>
      </c>
      <c r="D127" s="0" t="n">
        <v>2016</v>
      </c>
      <c r="E127" s="0" t="s">
        <v>200</v>
      </c>
      <c r="F127" s="4" t="s">
        <v>187</v>
      </c>
      <c r="G127" s="0" t="n">
        <v>54</v>
      </c>
      <c r="H127" s="1" t="str">
        <f aca="false">IF((YEAR(F127)-D127)&lt;=11,"Avenirs",IF((YEAR(F127)-D127)&lt;=13,"Benjamins",IF((YEAR(F127)-D127)&lt;=18,"Juniors",IF((YEAR(F127)-D127)&lt;=25,"Seniors","Master C"&amp;ROUNDUP((YEAR(F127)-D127-25)/5,0)))))</f>
        <v>Avenirs</v>
      </c>
    </row>
    <row r="128" customFormat="false" ht="13.8" hidden="false" customHeight="false" outlineLevel="0" collapsed="false">
      <c r="A128" s="0" t="s">
        <v>151</v>
      </c>
      <c r="B128" s="1" t="s">
        <v>9</v>
      </c>
      <c r="C128" s="0" t="s">
        <v>149</v>
      </c>
      <c r="D128" s="0" t="n">
        <v>2015</v>
      </c>
      <c r="E128" s="0" t="s">
        <v>201</v>
      </c>
      <c r="F128" s="4" t="s">
        <v>187</v>
      </c>
      <c r="G128" s="0" t="n">
        <v>16</v>
      </c>
      <c r="H128" s="1" t="str">
        <f aca="false">IF((YEAR(F128)-D128)&lt;=11,"Avenirs",IF((YEAR(F128)-D128)&lt;=13,"Benjamins",IF((YEAR(F128)-D128)&lt;=18,"Juniors",IF((YEAR(F128)-D128)&lt;=25,"Seniors","Master C"&amp;ROUNDUP((YEAR(F128)-D128-25)/5,0)))))</f>
        <v>Avenirs</v>
      </c>
    </row>
    <row r="129" customFormat="false" ht="13.8" hidden="false" customHeight="false" outlineLevel="0" collapsed="false">
      <c r="A129" s="0" t="s">
        <v>151</v>
      </c>
      <c r="B129" s="1" t="s">
        <v>9</v>
      </c>
      <c r="C129" s="0" t="s">
        <v>147</v>
      </c>
      <c r="D129" s="0" t="n">
        <v>2015</v>
      </c>
      <c r="E129" s="0" t="s">
        <v>202</v>
      </c>
      <c r="F129" s="4" t="s">
        <v>187</v>
      </c>
      <c r="G129" s="0" t="n">
        <v>12</v>
      </c>
      <c r="H129" s="1" t="str">
        <f aca="false">IF((YEAR(F129)-D129)&lt;=11,"Avenirs",IF((YEAR(F129)-D129)&lt;=13,"Benjamins",IF((YEAR(F129)-D129)&lt;=18,"Juniors",IF((YEAR(F129)-D129)&lt;=25,"Seniors","Master C"&amp;ROUNDUP((YEAR(F129)-D129-25)/5,0)))))</f>
        <v>Avenirs</v>
      </c>
    </row>
    <row r="130" customFormat="false" ht="13.8" hidden="false" customHeight="false" outlineLevel="0" collapsed="false">
      <c r="B130" s="1"/>
    </row>
    <row r="131" customFormat="false" ht="13.8" hidden="false" customHeight="false" outlineLevel="0" collapsed="false">
      <c r="B131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203</v>
      </c>
      <c r="D1" s="1" t="s">
        <v>204</v>
      </c>
      <c r="E1" s="1" t="s">
        <v>4</v>
      </c>
      <c r="F1" s="1" t="s">
        <v>205</v>
      </c>
      <c r="G1" s="1" t="s">
        <v>206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3"/>
    </row>
    <row r="21" customFormat="false" ht="13.8" hidden="false" customHeight="false" outlineLevel="0" collapsed="false">
      <c r="J21" s="3"/>
    </row>
    <row r="22" customFormat="false" ht="13.8" hidden="false" customHeight="false" outlineLevel="0" collapsed="false">
      <c r="J22" s="3"/>
    </row>
    <row r="23" customFormat="false" ht="13.8" hidden="false" customHeight="false" outlineLevel="0" collapsed="false">
      <c r="J23" s="3"/>
    </row>
    <row r="24" customFormat="false" ht="13.8" hidden="false" customHeight="false" outlineLevel="0" collapsed="false">
      <c r="J24" s="3"/>
    </row>
    <row r="25" customFormat="false" ht="13.8" hidden="false" customHeight="false" outlineLevel="0" collapsed="false">
      <c r="J25" s="3"/>
    </row>
    <row r="26" customFormat="false" ht="13.8" hidden="false" customHeight="false" outlineLevel="0" collapsed="false">
      <c r="J26" s="3"/>
    </row>
    <row r="27" customFormat="false" ht="13.8" hidden="false" customHeight="false" outlineLevel="0" collapsed="false">
      <c r="J27" s="3"/>
    </row>
    <row r="28" customFormat="false" ht="13.8" hidden="false" customHeight="false" outlineLevel="0" collapsed="false">
      <c r="J28" s="3"/>
    </row>
    <row r="29" customFormat="false" ht="13.8" hidden="false" customHeight="false" outlineLevel="0" collapsed="false">
      <c r="J29" s="3"/>
    </row>
    <row r="30" customFormat="false" ht="13.8" hidden="false" customHeight="false" outlineLevel="0" collapsed="false">
      <c r="J30" s="3"/>
    </row>
    <row r="31" customFormat="false" ht="13.8" hidden="false" customHeight="false" outlineLevel="0" collapsed="false">
      <c r="J31" s="3"/>
    </row>
    <row r="32" customFormat="false" ht="13.8" hidden="false" customHeight="false" outlineLevel="0" collapsed="false">
      <c r="J32" s="3"/>
    </row>
    <row r="33" customFormat="false" ht="13.8" hidden="false" customHeight="false" outlineLevel="0" collapsed="false">
      <c r="J33" s="3"/>
    </row>
    <row r="34" customFormat="false" ht="13.8" hidden="false" customHeight="false" outlineLevel="0" collapsed="false">
      <c r="J34" s="3"/>
    </row>
    <row r="35" customFormat="false" ht="13.8" hidden="false" customHeight="false" outlineLevel="0" collapsed="false">
      <c r="J35" s="3"/>
    </row>
    <row r="36" customFormat="false" ht="13.8" hidden="false" customHeight="false" outlineLevel="0" collapsed="false">
      <c r="J36" s="3"/>
    </row>
    <row r="37" customFormat="false" ht="13.8" hidden="false" customHeight="false" outlineLevel="0" collapsed="false">
      <c r="J37" s="3"/>
    </row>
    <row r="38" customFormat="false" ht="13.8" hidden="false" customHeight="false" outlineLevel="0" collapsed="false">
      <c r="J38" s="3"/>
    </row>
    <row r="39" customFormat="false" ht="13.8" hidden="false" customHeight="false" outlineLevel="0" collapsed="false">
      <c r="J39" s="3"/>
    </row>
    <row r="40" customFormat="false" ht="13.8" hidden="false" customHeight="false" outlineLevel="0" collapsed="false">
      <c r="J40" s="3"/>
    </row>
    <row r="41" customFormat="false" ht="13.8" hidden="false" customHeight="false" outlineLevel="0" collapsed="false">
      <c r="J41" s="3"/>
    </row>
    <row r="42" customFormat="false" ht="13.8" hidden="false" customHeight="false" outlineLevel="0" collapsed="false">
      <c r="J42" s="3"/>
    </row>
    <row r="43" customFormat="false" ht="13.8" hidden="false" customHeight="false" outlineLevel="0" collapsed="false">
      <c r="J43" s="3"/>
    </row>
    <row r="44" customFormat="false" ht="13.8" hidden="false" customHeight="false" outlineLevel="0" collapsed="false">
      <c r="J44" s="3"/>
    </row>
    <row r="45" customFormat="false" ht="13.8" hidden="false" customHeight="false" outlineLevel="0" collapsed="false">
      <c r="J45" s="3"/>
    </row>
    <row r="46" customFormat="false" ht="13.8" hidden="false" customHeight="false" outlineLevel="0" collapsed="false">
      <c r="J46" s="3"/>
    </row>
    <row r="47" customFormat="false" ht="13.8" hidden="false" customHeight="false" outlineLevel="0" collapsed="false">
      <c r="J47" s="3"/>
    </row>
    <row r="48" customFormat="false" ht="13.8" hidden="false" customHeight="false" outlineLevel="0" collapsed="false">
      <c r="J48" s="3"/>
    </row>
    <row r="49" customFormat="false" ht="13.8" hidden="false" customHeight="false" outlineLevel="0" collapsed="false">
      <c r="J49" s="3"/>
    </row>
    <row r="50" customFormat="false" ht="13.8" hidden="false" customHeight="false" outlineLevel="0" collapsed="false">
      <c r="J50" s="3"/>
    </row>
    <row r="51" customFormat="false" ht="13.8" hidden="false" customHeight="false" outlineLevel="0" collapsed="false">
      <c r="J51" s="3"/>
    </row>
    <row r="52" customFormat="false" ht="13.8" hidden="false" customHeight="false" outlineLevel="0" collapsed="false">
      <c r="J52" s="3"/>
    </row>
    <row r="53" customFormat="false" ht="13.8" hidden="false" customHeight="false" outlineLevel="0" collapsed="false">
      <c r="J53" s="3"/>
    </row>
    <row r="54" customFormat="false" ht="13.8" hidden="false" customHeight="false" outlineLevel="0" collapsed="false">
      <c r="J54" s="3"/>
    </row>
    <row r="55" customFormat="false" ht="13.8" hidden="false" customHeight="false" outlineLevel="0" collapsed="false">
      <c r="J55" s="3"/>
    </row>
    <row r="56" customFormat="false" ht="13.8" hidden="false" customHeight="false" outlineLevel="0" collapsed="false">
      <c r="J56" s="3"/>
    </row>
    <row r="57" customFormat="false" ht="13.8" hidden="false" customHeight="false" outlineLevel="0" collapsed="false">
      <c r="J57" s="3"/>
    </row>
    <row r="58" customFormat="false" ht="13.8" hidden="false" customHeight="false" outlineLevel="0" collapsed="false">
      <c r="J58" s="3"/>
    </row>
    <row r="59" customFormat="false" ht="13.8" hidden="false" customHeight="false" outlineLevel="0" collapsed="false">
      <c r="J59" s="3"/>
    </row>
    <row r="60" customFormat="false" ht="13.8" hidden="false" customHeight="false" outlineLevel="0" collapsed="false">
      <c r="J60" s="3"/>
    </row>
    <row r="61" customFormat="false" ht="13.8" hidden="false" customHeight="false" outlineLevel="0" collapsed="false">
      <c r="J61" s="3"/>
    </row>
    <row r="62" customFormat="false" ht="13.8" hidden="false" customHeight="false" outlineLevel="0" collapsed="false">
      <c r="J62" s="3"/>
    </row>
    <row r="63" customFormat="false" ht="13.8" hidden="false" customHeight="false" outlineLevel="0" collapsed="false">
      <c r="J63" s="3"/>
    </row>
    <row r="64" customFormat="false" ht="13.8" hidden="false" customHeight="false" outlineLevel="0" collapsed="false">
      <c r="J64" s="3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2026-03-25T09:41:16Z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